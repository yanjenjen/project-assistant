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91bba651e04b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首頁" sheetId="1" r:id="Ra0863d3c0d0848b2"/>
    <x:sheet xmlns:r="http://schemas.openxmlformats.org/officeDocument/2006/relationships" name="成長戰略" sheetId="2" r:id="R770cc876994a4d1f"/>
    <x:sheet xmlns:r="http://schemas.openxmlformats.org/officeDocument/2006/relationships" name="能力盤點" sheetId="3" r:id="Rc60f7c85da684805"/>
    <x:sheet xmlns:r="http://schemas.openxmlformats.org/officeDocument/2006/relationships" name="證據紀錄" sheetId="4" r:id="Rb02b57a812a941e9"/>
    <x:sheet xmlns:r="http://schemas.openxmlformats.org/officeDocument/2006/relationships" name="專案組合" sheetId="5" r:id="R1636e75fa5774192"/>
    <x:sheet xmlns:r="http://schemas.openxmlformats.org/officeDocument/2006/relationships" name="12週計畫" sheetId="6" r:id="Rc886545b1842481a"/>
    <x:sheet xmlns:r="http://schemas.openxmlformats.org/officeDocument/2006/relationships" name="每週執行" sheetId="7" r:id="Rf43c0380c3fb489c"/>
    <x:sheet xmlns:r="http://schemas.openxmlformats.org/officeDocument/2006/relationships" name="月季檢討" sheetId="8" r:id="Raa9c469398ee4a3c"/>
    <x:sheet xmlns:r="http://schemas.openxmlformats.org/officeDocument/2006/relationships" name="儀表板" sheetId="9" r:id="R89bc890dd459428a"/>
    <x:sheet xmlns:r="http://schemas.openxmlformats.org/officeDocument/2006/relationships" name="設定" sheetId="10" r:id="R4d0ddc10932d48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%"/>
    <x:numFmt numFmtId="202" formatCode="0.0"/>
  </x:numFmts>
  <x:fonts count="6">
    <x:font>
      <x:sz val="11"/>
      <x:name val="Carlito"/>
    </x:font>
    <x:font>
      <x:b/>
      <x:sz val="18"/>
      <x:color rgb="FFFFFFFF"/>
      <x:name val="Carlito"/>
    </x:font>
    <x:font>
      <x:b/>
      <x:sz val="12"/>
      <x:color rgb="FF17365D"/>
      <x:name val="Carlito"/>
    </x:font>
    <x:font>
      <x:b/>
      <x:sz val="11"/>
      <x:color rgb="FFFFFFFF"/>
      <x:name val="Carlito"/>
    </x:font>
    <x:font>
      <x:sz val="11"/>
      <x:color rgb="FF7F6000"/>
      <x:name val="Carlito"/>
    </x:font>
    <x:font>
      <x:b/>
      <x:sz val="14"/>
      <x:color rgb="FF17365D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10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5" borderId="7" xfId="0" applyNumberFormat="1" applyFont="1" applyFill="1" applyBorder="1" applyAlignment="1">
      <x:alignment vertical="center"/>
    </x:xf>
    <x:xf numFmtId="0" fontId="0" fillId="5" borderId="8" xfId="0" applyNumberFormat="1" applyFont="1" applyFill="1" applyBorder="1" applyAlignment="1">
      <x:alignment vertical="center"/>
    </x:xf>
    <x:xf numFmtId="0" fontId="0" fillId="5" borderId="9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0" fillId="6" borderId="7" xfId="0" applyNumberFormat="1" applyFont="1" applyFill="1" applyBorder="1" applyAlignment="1">
      <x:alignment vertical="center"/>
    </x:xf>
    <x:xf numFmtId="0" fontId="0" fillId="6" borderId="8" xfId="0" applyNumberFormat="1" applyFont="1" applyFill="1" applyBorder="1" applyAlignment="1">
      <x:alignment vertical="center"/>
    </x:xf>
    <x:xf numFmtId="0" fontId="0" fillId="6" borderId="9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200" fontId="0" fillId="0" borderId="7" xfId="0" applyNumberFormat="1" applyFont="1" applyFill="1" applyBorder="1" applyAlignment="1">
      <x:alignment vertical="center"/>
    </x:xf>
    <x:xf numFmtId="200" fontId="0" fillId="0" borderId="8" xfId="0" applyNumberFormat="1" applyFont="1" applyFill="1" applyBorder="1" applyAlignment="1">
      <x:alignment vertical="center"/>
    </x:xf>
    <x:xf numFmtId="200" fontId="0" fillId="0" borderId="9" xfId="0" applyNumberFormat="1" applyFont="1" applyFill="1" applyBorder="1" applyAlignment="1">
      <x:alignment vertical="center"/>
    </x:xf>
    <x:xf numFmtId="0" fontId="0" fillId="5" borderId="2" xfId="0" applyNumberFormat="1" applyFont="1" applyFill="1" applyBorder="1" applyAlignment="1">
      <x:alignment vertical="center"/>
    </x:xf>
    <x:xf numFmtId="0" fontId="0" fillId="5" borderId="4" xfId="0" applyNumberFormat="1" applyFont="1" applyFill="1" applyBorder="1" applyAlignment="1">
      <x:alignment vertical="center"/>
    </x:xf>
    <x:xf numFmtId="0" fontId="0" fillId="5" borderId="6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1" fontId="0" fillId="0" borderId="2" xfId="0" applyNumberFormat="1" applyFont="1" applyFill="1" applyBorder="1"/>
    <x:xf numFmtId="201" fontId="0" fillId="0" borderId="4" xfId="0" applyNumberFormat="1" applyFont="1" applyFill="1" applyBorder="1"/>
    <x:xf numFmtId="201" fontId="0" fillId="0" borderId="6" xfId="0" applyNumberFormat="1" applyFont="1" applyFill="1" applyBorder="1"/>
    <x:xf numFmtId="201" fontId="0" fillId="0" borderId="2" xfId="0" applyNumberFormat="1" applyFont="1" applyFill="1" applyBorder="1" applyAlignment="1">
      <x:alignment vertical="center"/>
    </x:xf>
    <x:xf numFmtId="201" fontId="0" fillId="0" borderId="4" xfId="0" applyNumberFormat="1" applyFont="1" applyFill="1" applyBorder="1" applyAlignment="1">
      <x:alignment vertical="center"/>
    </x:xf>
    <x:xf numFmtId="201" fontId="0" fillId="0" borderId="6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vertical="center"/>
    </x:xf>
    <x:xf numFmtId="200" fontId="0" fillId="0" borderId="3" xfId="0" applyNumberFormat="1" applyFont="1" applyFill="1" applyBorder="1" applyAlignment="1">
      <x:alignment vertical="center"/>
    </x:xf>
    <x:xf numFmtId="200" fontId="0" fillId="0" borderId="5" xfId="0" applyNumberFormat="1" applyFont="1" applyFill="1" applyBorder="1" applyAlignment="1">
      <x:alignment vertical="center"/>
    </x:xf>
    <x:xf numFmtId="201" fontId="0" fillId="0" borderId="7" xfId="0" applyNumberFormat="1" applyFont="1" applyFill="1" applyBorder="1" applyAlignment="1">
      <x:alignment vertical="center"/>
    </x:xf>
    <x:xf numFmtId="201" fontId="0" fillId="0" borderId="8" xfId="0" applyNumberFormat="1" applyFont="1" applyFill="1" applyBorder="1" applyAlignment="1">
      <x:alignment vertical="center"/>
    </x:xf>
    <x:xf numFmtId="201" fontId="0" fillId="0" borderId="9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/>
    <x:xf numFmtId="0" fontId="5" fillId="6" borderId="2" xfId="0" applyNumberFormat="1" applyFont="1" applyFill="1" applyBorder="1"/>
    <x:xf numFmtId="0" fontId="5" fillId="6" borderId="4" xfId="0" applyNumberFormat="1" applyFont="1" applyFill="1" applyBorder="1"/>
    <x:xf numFmtId="0" fontId="5" fillId="6" borderId="6" xfId="0" applyNumberFormat="1" applyFont="1" applyFill="1" applyBorder="1"/>
    <x:xf numFmtId="0" fontId="5" fillId="6" borderId="2" xfId="0" applyNumberFormat="1" applyFont="1" applyFill="1" applyBorder="1" applyAlignment="1">
      <x:alignment vertical="center"/>
    </x:xf>
    <x:xf numFmtId="0" fontId="5" fillId="6" borderId="4" xfId="0" applyNumberFormat="1" applyFont="1" applyFill="1" applyBorder="1" applyAlignment="1">
      <x:alignment vertical="center"/>
    </x:xf>
    <x:xf numFmtId="0" fontId="5" fillId="6" borderId="6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202" fontId="0" fillId="0" borderId="7" xfId="0" applyNumberFormat="1" applyFont="1" applyFill="1" applyBorder="1"/>
    <x:xf numFmtId="202" fontId="0" fillId="0" borderId="2" xfId="0" applyNumberFormat="1" applyFont="1" applyFill="1" applyBorder="1"/>
    <x:xf numFmtId="202" fontId="0" fillId="0" borderId="8" xfId="0" applyNumberFormat="1" applyFont="1" applyFill="1" applyBorder="1"/>
    <x:xf numFmtId="202" fontId="0" fillId="0" borderId="4" xfId="0" applyNumberFormat="1" applyFont="1" applyFill="1" applyBorder="1"/>
    <x:xf numFmtId="202" fontId="0" fillId="0" borderId="9" xfId="0" applyNumberFormat="1" applyFont="1" applyFill="1" applyBorder="1"/>
    <x:xf numFmtId="202" fontId="0" fillId="0" borderId="6" xfId="0" applyNumberFormat="1" applyFont="1" applyFill="1" applyBorder="1"/>
    <x:xf numFmtId="202" fontId="0" fillId="0" borderId="7" xfId="0" applyNumberFormat="1" applyFont="1" applyFill="1" applyBorder="1" applyAlignment="1">
      <x:alignment vertical="center"/>
    </x:xf>
    <x:xf numFmtId="202" fontId="0" fillId="0" borderId="2" xfId="0" applyNumberFormat="1" applyFont="1" applyFill="1" applyBorder="1" applyAlignment="1">
      <x:alignment vertical="center"/>
    </x:xf>
    <x:xf numFmtId="202" fontId="0" fillId="0" borderId="8" xfId="0" applyNumberFormat="1" applyFont="1" applyFill="1" applyBorder="1" applyAlignment="1">
      <x:alignment vertical="center"/>
    </x:xf>
    <x:xf numFmtId="202" fontId="0" fillId="0" borderId="4" xfId="0" applyNumberFormat="1" applyFont="1" applyFill="1" applyBorder="1" applyAlignment="1">
      <x:alignment vertical="center"/>
    </x:xf>
    <x:xf numFmtId="202" fontId="0" fillId="0" borderId="9" xfId="0" applyNumberFormat="1" applyFont="1" applyFill="1" applyBorder="1" applyAlignment="1">
      <x:alignment vertical="center"/>
    </x:xf>
    <x:xf numFmtId="202" fontId="0" fillId="0" borderId="6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3" xfId="0" applyNumberFormat="1" applyFont="1" applyFill="1" applyBorder="1"/>
    <x:xf numFmtId="200" fontId="0" fillId="0" borderId="5" xfId="0" applyNumberFormat="1" applyFont="1" applyFill="1" applyBorder="1"/>
    <x:xf numFmtId="200" fontId="0" fillId="5" borderId="3" xfId="0" applyNumberFormat="1" applyFont="1" applyFill="1" applyBorder="1" applyAlignment="1">
      <x:alignment vertical="center"/>
    </x:xf>
    <x:xf numFmtId="200" fontId="4" fillId="5" borderId="3" xfId="0" applyNumberFormat="1" applyFont="1" applyFill="1" applyBorder="1" applyAlignment="1">
      <x:alignment vertical="center"/>
    </x:xf>
    <x:xf numFmtId="0" fontId="4" fillId="5" borderId="8" xfId="0" applyNumberFormat="1" applyFont="1" applyFill="1" applyBorder="1" applyAlignment="1">
      <x:alignment vertical="center"/>
    </x:xf>
    <x:xf numFmtId="200" fontId="4" fillId="5" borderId="3" xfId="0" applyNumberFormat="1" applyFont="1" applyFill="1" applyBorder="1" applyAlignment="1">
      <x:alignment vertical="center" wrapText="1"/>
    </x:xf>
    <x:xf numFmtId="0" fontId="4" fillId="5" borderId="8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d2e45e05304c5b" /><Relationship Type="http://schemas.openxmlformats.org/officeDocument/2006/relationships/theme" Target="/xl/theme/theme1.xml" Id="R5f4274e7d14241d2" /><Relationship Type="http://schemas.openxmlformats.org/officeDocument/2006/relationships/sharedStrings" Target="/xl/sharedStrings.xml" Id="Rd7f72cecdd5445dd" /><Relationship Type="http://schemas.openxmlformats.org/officeDocument/2006/relationships/worksheet" Target="/xl/worksheets/sheet1.xml" Id="Ra0863d3c0d0848b2" /><Relationship Type="http://schemas.openxmlformats.org/officeDocument/2006/relationships/worksheet" Target="/xl/worksheets/sheet2.xml" Id="R770cc876994a4d1f" /><Relationship Type="http://schemas.openxmlformats.org/officeDocument/2006/relationships/worksheet" Target="/xl/worksheets/sheet3.xml" Id="Rc60f7c85da684805" /><Relationship Type="http://schemas.openxmlformats.org/officeDocument/2006/relationships/worksheet" Target="/xl/worksheets/sheet4.xml" Id="Rb02b57a812a941e9" /><Relationship Type="http://schemas.openxmlformats.org/officeDocument/2006/relationships/worksheet" Target="/xl/worksheets/sheet5.xml" Id="R1636e75fa5774192" /><Relationship Type="http://schemas.openxmlformats.org/officeDocument/2006/relationships/worksheet" Target="/xl/worksheets/sheet6.xml" Id="Rc886545b1842481a" /><Relationship Type="http://schemas.openxmlformats.org/officeDocument/2006/relationships/worksheet" Target="/xl/worksheets/sheet7.xml" Id="Rf43c0380c3fb489c" /><Relationship Type="http://schemas.openxmlformats.org/officeDocument/2006/relationships/worksheet" Target="/xl/worksheets/sheet8.xml" Id="Raa9c469398ee4a3c" /><Relationship Type="http://schemas.openxmlformats.org/officeDocument/2006/relationships/worksheet" Target="/xl/worksheets/sheet9.xml" Id="R89bc890dd459428a" /><Relationship Type="http://schemas.openxmlformats.org/officeDocument/2006/relationships/worksheet" Target="/xl/worksheets/sheet10.xml" Id="R4d0ddc10932d487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332ba3af457428a" /><Relationship Type="http://schemas.openxmlformats.org/officeDocument/2006/relationships/chart" Target="/xl/drawings/charts/chart2.xml" Id="R7ebf393a978047b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七大能力：現況與12月目標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目前平均</c:v>
          </c:tx>
          <c:cat>
            <c:strRef>
              <c:f>'儀表板'!$D$4:$D$10</c:f>
              <c:strCache>
                <c:ptCount val="0"/>
              </c:strCache>
            </c:strRef>
          </c:cat>
          <c:val>
            <c:numRef>
              <c:f>'儀表板'!$E$4:$E$10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12月目標平均</c:v>
          </c:tx>
          <c:cat>
            <c:strRef>
              <c:f>'儀表板'!$D$4:$D$10</c:f>
              <c:strCache>
                <c:ptCount val="0"/>
              </c:strCache>
            </c:strRef>
          </c:cat>
          <c:val>
            <c:numRef>
              <c:f>'儀表板'!$F$4:$F$10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每週投入與成果趨勢</a:t>
            </a:r>
          </a:p>
        </c:rich>
      </c:tx>
    </c:title>
    <c:plotArea>
      <c:lineChart>
        <c:grouping val="standard"/>
        <c:ser>
          <c:idx val="0"/>
          <c:order val="0"/>
          <c:tx>
            <c:v>實際時數</c:v>
          </c:tx>
          <c:marker>
            <c:symbol val="none"/>
          </c:marker>
          <c:cat>
            <c:strRef>
              <c:f>'儀表板'!$D$14:$D$25</c:f>
              <c:strCache>
                <c:ptCount val="0"/>
              </c:strCache>
            </c:strRef>
          </c:cat>
          <c:val>
            <c:numRef>
              <c:f>'儀表板'!$E$14:$E$25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新增證據</c:v>
          </c:tx>
          <c:marker>
            <c:symbol val="none"/>
          </c:marker>
          <c:cat>
            <c:strRef>
              <c:f>'儀表板'!$D$14:$D$25</c:f>
              <c:strCache>
                <c:ptCount val="0"/>
              </c:strCache>
            </c:strRef>
          </c:cat>
          <c:val>
            <c:numRef>
              <c:f>'儀表板'!$F$14:$F$25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新增資產</c:v>
          </c:tx>
          <c:marker>
            <c:symbol val="none"/>
          </c:marker>
          <c:cat>
            <c:strRef>
              <c:f>'儀表板'!$D$14:$D$25</c:f>
              <c:strCache>
                <c:ptCount val="0"/>
              </c:strCache>
            </c:strRef>
          </c:cat>
          <c:val>
            <c:numRef>
              <c:f>'儀表板'!$G$14:$G$25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2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332ba3af457428a"/>
        </a:graphicData>
      </a:graphic>
    </xdr:graphicFrame>
    <xdr:clientData/>
  </xdr:twoCellAnchor>
  <xdr:twoCellAnchor>
    <xdr:from>
      <xdr:col>7</xdr:col>
      <xdr:colOff>0</xdr:colOff>
      <xdr:row>19</xdr:row>
      <xdr:rowOff>0</xdr:rowOff>
    </xdr:from>
    <xdr:to>
      <xdr:col>14</xdr:col>
      <xdr:colOff>0</xdr:colOff>
      <xdr:row>36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ebf393a978047b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1.xml" Id="R706c00f127384ee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4" hidden="0" customWidth="1"/>
    <x:col min="3" max="3" width="3" hidden="0" customWidth="1"/>
    <x:col min="4" max="4" width="18" hidden="0" customWidth="1"/>
    <x:col min="5" max="5" width="18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</x:cols>
  <x:sheetData>
    <x:row r="1" ht="34" customHeight="1">
      <x:c r="A1" s="3" t="str">
        <x:v>個人成長作業系統 PGOS｜2026 V1.0</x:v>
      </x:c>
      <x:c r="B1" s="3" t="str">
        <x:v>個人成長作業系統 PGOS｜2026 V1.0</x:v>
      </x:c>
      <x:c r="C1" s="3" t="str">
        <x:v>個人成長作業系統 PGOS｜2026 V1.0</x:v>
      </x:c>
      <x:c r="D1" s="3" t="str">
        <x:v>個人成長作業系統 PGOS｜2026 V1.0</x:v>
      </x:c>
      <x:c r="E1" s="3" t="str">
        <x:v>個人成長作業系統 PGOS｜2026 V1.0</x:v>
      </x:c>
      <x:c r="F1" s="3" t="str">
        <x:v>個人成長作業系統 PGOS｜2026 V1.0</x:v>
      </x:c>
      <x:c r="G1" s="3" t="str">
        <x:v>個人成長作業系統 PGOS｜2026 V1.0</x:v>
      </x:c>
      <x:c r="H1" s="3" t="str">
        <x:v>個人成長作業系統 PGOS｜2026 V1.0</x:v>
      </x:c>
      <x:c r="I1" s="3" t="str">
        <x:v>個人成長作業系統 PGOS｜2026 V1.0</x:v>
      </x:c>
      <x:c r="J1" s="3" t="str">
        <x:v>個人成長作業系統 PGOS｜2026 V1.0</x:v>
      </x:c>
    </x:row>
    <x:row r="3">
      <x:c r="A3" s="7" t="str">
        <x:v>目的：以 ERP 顧問實戰為根，持續發展思維、專業、AI、顧問、軟實力、執行及市場能力；所有能力升級均以證據為準。</x:v>
      </x:c>
      <x:c r="B3" s="7"/>
      <x:c r="C3" s="7"/>
      <x:c r="D3" s="7"/>
      <x:c r="E3" s="7"/>
      <x:c r="F3" s="7"/>
      <x:c r="G3" s="7"/>
      <x:c r="H3" s="7"/>
      <x:c r="I3" s="7"/>
      <x:c r="J3" s="7"/>
    </x:row>
    <x:row r="4">
      <x:c r="A4" s="7"/>
      <x:c r="B4" s="7"/>
      <x:c r="C4" s="7"/>
      <x:c r="D4" s="7"/>
      <x:c r="E4" s="7"/>
      <x:c r="F4" s="7"/>
      <x:c r="G4" s="7"/>
      <x:c r="H4" s="7"/>
      <x:c r="I4" s="7"/>
      <x:c r="J4" s="7"/>
    </x:row>
    <x:row r="6" ht="28" customHeight="1">
      <x:c r="A6" s="11" t="str">
        <x:v>使用順序</x:v>
      </x:c>
      <x:c r="B6" s="11" t="str">
        <x:v>行動</x:v>
      </x:c>
      <x:c r="D6" s="11" t="str">
        <x:v>營運原則</x:v>
      </x:c>
      <x:c r="E6" s="11" t="str"/>
      <x:c r="F6" s="11" t="str"/>
      <x:c r="G6" s="11" t="str"/>
      <x:c r="H6" s="11" t="str"/>
      <x:c r="I6" s="11" t="str"/>
      <x:c r="J6" s="11" t="str"/>
    </x:row>
    <x:row r="7">
      <x:c r="A7" s="18" t="str">
        <x:v>1</x:v>
      </x:c>
      <x:c r="B7" s="19" t="str">
        <x:v>填寫「成長戰略」</x:v>
      </x:c>
      <x:c r="D7" s="18" t="str">
        <x:v>每季主動發展</x:v>
      </x:c>
      <x:c r="E7" s="27" t="str">
        <x:v>1項核心能力＋1–2項支援能力</x:v>
      </x:c>
      <x:c r="F7" s="27" t="str"/>
      <x:c r="G7" s="27" t="str"/>
      <x:c r="H7" s="27" t="str"/>
      <x:c r="I7" s="27" t="str"/>
      <x:c r="J7" s="19" t="str"/>
    </x:row>
    <x:row r="8">
      <x:c r="A8" s="20" t="str">
        <x:v>2</x:v>
      </x:c>
      <x:c r="B8" s="21" t="str">
        <x:v>完成「能力盤點」自評與證據</x:v>
      </x:c>
      <x:c r="D8" s="20" t="str">
        <x:v>能力升級</x:v>
      </x:c>
      <x:c r="E8" s="28" t="str">
        <x:v>至少具備 E3 真實實戰；L4 需多次例外情境</x:v>
      </x:c>
      <x:c r="F8" s="28" t="str"/>
      <x:c r="G8" s="28" t="str"/>
      <x:c r="H8" s="28" t="str"/>
      <x:c r="I8" s="28" t="str"/>
      <x:c r="J8" s="21" t="str"/>
    </x:row>
    <x:row r="9">
      <x:c r="A9" s="20" t="str">
        <x:v>3</x:v>
      </x:c>
      <x:c r="B9" s="21" t="str">
        <x:v>在「專案組合」選一個高價值實戰</x:v>
      </x:c>
      <x:c r="D9" s="20" t="str">
        <x:v>學習方式</x:v>
      </x:c>
      <x:c r="E9" s="28" t="str">
        <x:v>70%實戰／20%回饋／10%輸入（原則）</x:v>
      </x:c>
      <x:c r="F9" s="28" t="str"/>
      <x:c r="G9" s="28" t="str"/>
      <x:c r="H9" s="28" t="str"/>
      <x:c r="I9" s="28" t="str"/>
      <x:c r="J9" s="21" t="str"/>
    </x:row>
    <x:row r="10">
      <x:c r="A10" s="20" t="str">
        <x:v>4</x:v>
      </x:c>
      <x:c r="B10" s="21" t="str">
        <x:v>設定一個「12週計畫」</x:v>
      </x:c>
      <x:c r="D10" s="20" t="str">
        <x:v>管理上限</x:v>
      </x:c>
      <x:c r="E10" s="28" t="str">
        <x:v>週20分鐘／月60分鐘／季3小時</x:v>
      </x:c>
      <x:c r="F10" s="28" t="str"/>
      <x:c r="G10" s="28" t="str"/>
      <x:c r="H10" s="28" t="str"/>
      <x:c r="I10" s="28" t="str"/>
      <x:c r="J10" s="21" t="str"/>
    </x:row>
    <x:row r="11">
      <x:c r="A11" s="20" t="str">
        <x:v>5</x:v>
      </x:c>
      <x:c r="B11" s="21" t="str">
        <x:v>每週更新成果與證據</x:v>
      </x:c>
      <x:c r="D11" s="20" t="str">
        <x:v>資料安全</x:v>
      </x:c>
      <x:c r="E11" s="28" t="str">
        <x:v>Git 僅保存去識別化案例與證據</x:v>
      </x:c>
      <x:c r="F11" s="28" t="str"/>
      <x:c r="G11" s="28" t="str"/>
      <x:c r="H11" s="28" t="str"/>
      <x:c r="I11" s="28" t="str"/>
      <x:c r="J11" s="21" t="str"/>
    </x:row>
    <x:row r="12">
      <x:c r="A12" s="22" t="str">
        <x:v>6</x:v>
      </x:c>
      <x:c r="B12" s="23" t="str">
        <x:v>每月／季正式檢討</x:v>
      </x:c>
      <x:c r="D12" s="22" t="str">
        <x:v>狀態</x:v>
      </x:c>
      <x:c r="E12" s="29" t="str">
        <x:v>V1.0 試運轉；首次季檢後校準</x:v>
      </x:c>
      <x:c r="F12" s="29" t="str"/>
      <x:c r="G12" s="29" t="str"/>
      <x:c r="H12" s="29" t="str"/>
      <x:c r="I12" s="29" t="str"/>
      <x:c r="J12" s="23" t="str"/>
    </x:row>
  </x:sheetData>
  <x:mergeCells>
    <x:mergeCell ref="A1:J1"/>
    <x:mergeCell ref="A3:J4"/>
    <x:mergeCell ref="D6:J6"/>
    <x:mergeCell ref="E7:J7"/>
    <x:mergeCell ref="E8:J8"/>
    <x:mergeCell ref="E9:J9"/>
    <x:mergeCell ref="E10:J10"/>
    <x:mergeCell ref="E11:J11"/>
    <x:mergeCell ref="E12:J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66" hidden="0" customWidth="1"/>
    <x:col min="3" max="3" width="3" hidden="0" customWidth="1"/>
    <x:col min="4" max="4" width="22" hidden="0" customWidth="1"/>
    <x:col min="5" max="5" width="12" hidden="0" customWidth="1"/>
    <x:col min="6" max="6" width="12" hidden="0" customWidth="1"/>
    <x:col min="7" max="7" width="12" hidden="0" customWidth="1"/>
    <x:col min="8" max="8" width="26" hidden="0" customWidth="1"/>
  </x:cols>
  <x:sheetData>
    <x:row r="1" ht="34" customHeight="1">
      <x:c r="A1" s="3" t="str">
        <x:v>成長戰略與選擇原則</x:v>
      </x:c>
      <x:c r="B1" s="3" t="str">
        <x:v>成長戰略與選擇原則</x:v>
      </x:c>
      <x:c r="C1" s="3" t="str">
        <x:v>成長戰略與選擇原則</x:v>
      </x:c>
      <x:c r="D1" s="3" t="str">
        <x:v>成長戰略與選擇原則</x:v>
      </x:c>
      <x:c r="E1" s="3" t="str">
        <x:v>成長戰略與選擇原則</x:v>
      </x:c>
      <x:c r="F1" s="3" t="str">
        <x:v>成長戰略與選擇原則</x:v>
      </x:c>
      <x:c r="G1" s="3" t="str">
        <x:v>成長戰略與選擇原則</x:v>
      </x:c>
      <x:c r="H1" s="3" t="str">
        <x:v>成長戰略與選擇原則</x:v>
      </x:c>
    </x:row>
    <x:row r="3" ht="28" customHeight="1">
      <x:c r="A3" s="11" t="str">
        <x:v>欄位</x:v>
      </x:c>
      <x:c r="B3" s="11" t="str">
        <x:v>內容</x:v>
      </x:c>
      <x:c r="D3" s="11" t="str">
        <x:v>新學習項目評選</x:v>
      </x:c>
      <x:c r="E3" s="11" t="str"/>
      <x:c r="F3" s="11" t="str"/>
      <x:c r="G3" s="11" t="str"/>
      <x:c r="H3" s="11" t="str"/>
    </x:row>
    <x:row r="4" ht="28" customHeight="1">
      <x:c r="A4" s="18" t="str">
        <x:v>三年定位</x:v>
      </x:c>
      <x:c r="B4" s="30" t="str">
        <x:v>成為能運用 AI、資料與流程方法，協助企業診斷 ERP 營運問題、設計改善方案並推動落地的智慧流程顧問。</x:v>
      </x:c>
      <x:c r="D4" s="11" t="str">
        <x:v>評選問題</x:v>
      </x:c>
      <x:c r="E4" s="11" t="str">
        <x:v>是/否</x:v>
      </x:c>
      <x:c r="F4" s="11" t="str">
        <x:v>說明</x:v>
      </x:c>
      <x:c r="G4" s="11" t="str"/>
      <x:c r="H4" s="11" t="str"/>
    </x:row>
    <x:row r="5">
      <x:c r="A5" s="20" t="str">
        <x:v>定位狀態</x:v>
      </x:c>
      <x:c r="B5" s="31" t="str">
        <x:v>待本人確認；第一次季度考核校準</x:v>
      </x:c>
      <x:c r="D5" s="18" t="str">
        <x:v>是否支援三年定位？</x:v>
      </x:c>
      <x:c r="E5" s="27" t="str"/>
      <x:c r="F5" s="27" t="str"/>
      <x:c r="G5" s="27" t="str"/>
      <x:c r="H5" s="19" t="str"/>
    </x:row>
    <x:row r="6">
      <x:c r="A6" s="20" t="str">
        <x:v>本年度主題</x:v>
      </x:c>
      <x:c r="B6" s="31" t="str">
        <x:v>建立可重複的顧問工作方法與個人成長作業系統</x:v>
      </x:c>
      <x:c r="D6" s="20" t="str">
        <x:v>六個月內有使用場景？</x:v>
      </x:c>
      <x:c r="E6" s="28" t="str"/>
      <x:c r="F6" s="28" t="str"/>
      <x:c r="G6" s="28" t="str"/>
      <x:c r="H6" s="21" t="str"/>
    </x:row>
    <x:row r="7">
      <x:c r="A7" s="20" t="str">
        <x:v>年度核心成果</x:v>
      </x:c>
      <x:c r="B7" s="31" t="str">
        <x:v>完成4個12週循環；形成至少4項可重用資產</x:v>
      </x:c>
      <x:c r="D7" s="20" t="str">
        <x:v>能形成成果或證據？</x:v>
      </x:c>
      <x:c r="E7" s="28" t="str"/>
      <x:c r="F7" s="28" t="str"/>
      <x:c r="G7" s="28" t="str"/>
      <x:c r="H7" s="21" t="str"/>
    </x:row>
    <x:row r="8">
      <x:c r="A8" s="20" t="str">
        <x:v>優先服務問題</x:v>
      </x:c>
      <x:c r="B8" s="31" t="str">
        <x:v>待盤點</x:v>
      </x:c>
      <x:c r="D8" s="20" t="str">
        <x:v>能與ERP經驗結合？</x:v>
      </x:c>
      <x:c r="E8" s="28" t="str"/>
      <x:c r="F8" s="28" t="str"/>
      <x:c r="G8" s="28" t="str"/>
      <x:c r="H8" s="21" t="str"/>
    </x:row>
    <x:row r="9">
      <x:c r="A9" s="20" t="str">
        <x:v>主要領域／流程</x:v>
      </x:c>
      <x:c r="B9" s="31" t="str">
        <x:v>待盤點</x:v>
      </x:c>
      <x:c r="D9" s="22" t="str">
        <x:v>AI進步後仍有互補價值？</x:v>
      </x:c>
      <x:c r="E9" s="29" t="str"/>
      <x:c r="F9" s="29" t="str"/>
      <x:c r="G9" s="29" t="str"/>
      <x:c r="H9" s="23" t="str"/>
    </x:row>
    <x:row r="10">
      <x:c r="A10" s="20" t="str">
        <x:v>希望增加的工作</x:v>
      </x:c>
      <x:c r="B10" s="31" t="str">
        <x:v>診斷、查證、整合、協調、落地</x:v>
      </x:c>
    </x:row>
    <x:row r="11">
      <x:c r="A11" s="20" t="str">
        <x:v>希望降低的工作</x:v>
      </x:c>
      <x:c r="B11" s="31" t="str">
        <x:v>重複整理、制式產出、無目的工具學習</x:v>
      </x:c>
    </x:row>
    <x:row r="12">
      <x:c r="A12" s="20" t="str">
        <x:v>每週可投入時間</x:v>
      </x:c>
      <x:c r="B12" s="31" t="str">
        <x:v>待填寫</x:v>
      </x:c>
    </x:row>
    <x:row r="13">
      <x:c r="A13" s="20" t="str">
        <x:v>外部回饋者</x:v>
      </x:c>
      <x:c r="B13" s="31" t="str">
        <x:v>待指定</x:v>
      </x:c>
    </x:row>
    <x:row r="14">
      <x:c r="A14" s="22" t="str">
        <x:v>年度限制條件</x:v>
      </x:c>
      <x:c r="B14" s="32" t="str">
        <x:v>工作負荷、時間、資料機密及身心狀態</x:v>
      </x:c>
    </x:row>
  </x:sheetData>
  <x:mergeCells>
    <x:mergeCell ref="A1:H1"/>
    <x:mergeCell ref="D3:H3"/>
    <x:mergeCell ref="D4:F4"/>
    <x:mergeCell ref="G4:H4"/>
    <x:mergeCell ref="D5:F5"/>
    <x:mergeCell ref="D6:F6"/>
    <x:mergeCell ref="D7:F7"/>
    <x:mergeCell ref="D8:F8"/>
    <x:mergeCell ref="D9:F9"/>
  </x:mergeCells>
  <x:dataValidations count="1">
    <x:dataValidation type="list" sqref="G5:G9">
      <x:formula1>"是,否,待確認"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46" hidden="0" customWidth="1"/>
    <x:col min="4" max="4" width="13" hidden="0" customWidth="1"/>
    <x:col min="5" max="5" width="13" hidden="0" customWidth="1"/>
    <x:col min="6" max="6" width="10" hidden="0" customWidth="1"/>
    <x:col min="7" max="7" width="12" hidden="0" customWidth="1"/>
    <x:col min="8" max="8" width="10" hidden="0" customWidth="1"/>
    <x:col min="9" max="9" width="12" hidden="0" customWidth="1"/>
    <x:col min="10" max="10" width="34" hidden="0" customWidth="1"/>
  </x:cols>
  <x:sheetData>
    <x:row r="1" ht="34" customHeight="1">
      <x:c r="A1" s="3" t="str">
        <x:v>七大能力盤點｜分數必須搭配證據</x:v>
      </x:c>
      <x:c r="B1" s="3" t="str">
        <x:v>七大能力盤點｜分數必須搭配證據</x:v>
      </x:c>
      <x:c r="C1" s="3" t="str">
        <x:v>七大能力盤點｜分數必須搭配證據</x:v>
      </x:c>
      <x:c r="D1" s="3" t="str">
        <x:v>七大能力盤點｜分數必須搭配證據</x:v>
      </x:c>
      <x:c r="E1" s="3" t="str">
        <x:v>七大能力盤點｜分數必須搭配證據</x:v>
      </x:c>
      <x:c r="F1" s="3" t="str">
        <x:v>七大能力盤點｜分數必須搭配證據</x:v>
      </x:c>
      <x:c r="G1" s="3" t="str">
        <x:v>七大能力盤點｜分數必須搭配證據</x:v>
      </x:c>
      <x:c r="H1" s="3" t="str">
        <x:v>七大能力盤點｜分數必須搭配證據</x:v>
      </x:c>
      <x:c r="I1" s="3" t="str">
        <x:v>七大能力盤點｜分數必須搭配證據</x:v>
      </x:c>
      <x:c r="J1" s="3" t="str">
        <x:v>七大能力盤點｜分數必須搭配證據</x:v>
      </x:c>
    </x:row>
    <x:row r="3" ht="28" customHeight="1">
      <x:c r="A3" s="11" t="str">
        <x:v>領域</x:v>
      </x:c>
      <x:c r="B3" s="11" t="str">
        <x:v>能力</x:v>
      </x:c>
      <x:c r="C3" s="11" t="str">
        <x:v>行為定義</x:v>
      </x:c>
      <x:c r="D3" s="11" t="str">
        <x:v>現況L0–L5</x:v>
      </x:c>
      <x:c r="E3" s="11" t="str">
        <x:v>12月目標</x:v>
      </x:c>
      <x:c r="F3" s="11" t="str">
        <x:v>差距</x:v>
      </x:c>
      <x:c r="G3" s="11" t="str">
        <x:v>證據等級</x:v>
      </x:c>
      <x:c r="H3" s="11" t="str">
        <x:v>信心</x:v>
      </x:c>
      <x:c r="I3" s="11" t="str">
        <x:v>本季優先</x:v>
      </x:c>
      <x:c r="J3" s="11" t="str">
        <x:v>證據／備註</x:v>
      </x:c>
    </x:row>
    <x:row r="4">
      <x:c r="A4" s="18" t="str">
        <x:v>思維與決策</x:v>
      </x:c>
      <x:c r="B4" s="27" t="str">
        <x:v>系統思考</x:v>
      </x:c>
      <x:c r="C4" s="33" t="str">
        <x:v>辨識流程、角色、資訊與回饋迴路的相互影響</x:v>
      </x:c>
      <x:c r="D4" s="36"/>
      <x:c r="E4" s="40" t="n">
        <x:v>3</x:v>
      </x:c>
      <x:c r="F4" s="27" t="str">
        <x:f>IF(OR(D4="",E4=""),"",E4-D4)</x:f>
      </x:c>
      <x:c r="G4" s="27" t="str">
        <x:v>E0</x:v>
      </x:c>
      <x:c r="H4" s="27" t="str">
        <x:v>低</x:v>
      </x:c>
      <x:c r="I4" s="27" t="str">
        <x:v>否</x:v>
      </x:c>
      <x:c r="J4" s="30" t="str">
        <x:v>待本人盤點</x:v>
      </x:c>
    </x:row>
    <x:row r="5">
      <x:c r="A5" s="20" t="str">
        <x:v>思維與決策</x:v>
      </x:c>
      <x:c r="B5" s="28" t="str">
        <x:v>問題定義</x:v>
      </x:c>
      <x:c r="C5" s="34" t="str">
        <x:v>將模糊抱怨轉成可查證、可決策的問題</x:v>
      </x:c>
      <x:c r="D5" s="37"/>
      <x:c r="E5" s="41" t="n">
        <x:v>3</x:v>
      </x:c>
      <x:c r="F5" s="28" t="str">
        <x:f>IF(OR(D5="",E5=""),"",E5-D5)</x:f>
      </x:c>
      <x:c r="G5" s="28" t="str">
        <x:v>E0</x:v>
      </x:c>
      <x:c r="H5" s="28" t="str">
        <x:v>低</x:v>
      </x:c>
      <x:c r="I5" s="28" t="str">
        <x:v>否</x:v>
      </x:c>
      <x:c r="J5" s="31" t="str">
        <x:v>待本人盤點</x:v>
      </x:c>
    </x:row>
    <x:row r="6">
      <x:c r="A6" s="20" t="str">
        <x:v>思維與決策</x:v>
      </x:c>
      <x:c r="B6" s="28" t="str">
        <x:v>因果與根因分析</x:v>
      </x:c>
      <x:c r="C6" s="34" t="str">
        <x:v>區分相關、症狀與根因，設計查證</x:v>
      </x:c>
      <x:c r="D6" s="37"/>
      <x:c r="E6" s="41" t="n">
        <x:v>3</x:v>
      </x:c>
      <x:c r="F6" s="28" t="str">
        <x:f>IF(OR(D6="",E6=""),"",E6-D6)</x:f>
      </x:c>
      <x:c r="G6" s="28" t="str">
        <x:v>E0</x:v>
      </x:c>
      <x:c r="H6" s="28" t="str">
        <x:v>低</x:v>
      </x:c>
      <x:c r="I6" s="28" t="str">
        <x:v>否</x:v>
      </x:c>
      <x:c r="J6" s="31" t="str">
        <x:v>待本人盤點</x:v>
      </x:c>
    </x:row>
    <x:row r="7">
      <x:c r="A7" s="20" t="str">
        <x:v>思維與決策</x:v>
      </x:c>
      <x:c r="B7" s="28" t="str">
        <x:v>機率與不確定性</x:v>
      </x:c>
      <x:c r="C7" s="34" t="str">
        <x:v>呈現假設、信心與風險，不把推測當事實</x:v>
      </x:c>
      <x:c r="D7" s="37"/>
      <x:c r="E7" s="41" t="n">
        <x:v>3</x:v>
      </x:c>
      <x:c r="F7" s="28" t="str">
        <x:f>IF(OR(D7="",E7=""),"",E7-D7)</x:f>
      </x:c>
      <x:c r="G7" s="28" t="str">
        <x:v>E0</x:v>
      </x:c>
      <x:c r="H7" s="28" t="str">
        <x:v>低</x:v>
      </x:c>
      <x:c r="I7" s="28" t="str">
        <x:v>否</x:v>
      </x:c>
      <x:c r="J7" s="31" t="str">
        <x:v>待本人盤點</x:v>
      </x:c>
    </x:row>
    <x:row r="8">
      <x:c r="A8" s="20" t="str">
        <x:v>思維與決策</x:v>
      </x:c>
      <x:c r="B8" s="28" t="str">
        <x:v>批判思考</x:v>
      </x:c>
      <x:c r="C8" s="34" t="str">
        <x:v>檢查來源、反例、偏誤與替代解釋</x:v>
      </x:c>
      <x:c r="D8" s="37"/>
      <x:c r="E8" s="41" t="n">
        <x:v>3</x:v>
      </x:c>
      <x:c r="F8" s="28" t="str">
        <x:f>IF(OR(D8="",E8=""),"",E8-D8)</x:f>
      </x:c>
      <x:c r="G8" s="28" t="str">
        <x:v>E0</x:v>
      </x:c>
      <x:c r="H8" s="28" t="str">
        <x:v>低</x:v>
      </x:c>
      <x:c r="I8" s="28" t="str">
        <x:v>否</x:v>
      </x:c>
      <x:c r="J8" s="31" t="str">
        <x:v>待本人盤點</x:v>
      </x:c>
    </x:row>
    <x:row r="9">
      <x:c r="A9" s="20" t="str">
        <x:v>思維與決策</x:v>
      </x:c>
      <x:c r="B9" s="28" t="str">
        <x:v>優先順序與取捨</x:v>
      </x:c>
      <x:c r="C9" s="34" t="str">
        <x:v>依價值、風險、成本與可行性排序</x:v>
      </x:c>
      <x:c r="D9" s="37"/>
      <x:c r="E9" s="41" t="n">
        <x:v>3</x:v>
      </x:c>
      <x:c r="F9" s="28" t="str">
        <x:f>IF(OR(D9="",E9=""),"",E9-D9)</x:f>
      </x:c>
      <x:c r="G9" s="28" t="str">
        <x:v>E0</x:v>
      </x:c>
      <x:c r="H9" s="28" t="str">
        <x:v>低</x:v>
      </x:c>
      <x:c r="I9" s="28" t="str">
        <x:v>否</x:v>
      </x:c>
      <x:c r="J9" s="31" t="str">
        <x:v>待本人盤點</x:v>
      </x:c>
    </x:row>
    <x:row r="10">
      <x:c r="A10" s="20" t="str">
        <x:v>思維與決策</x:v>
      </x:c>
      <x:c r="B10" s="28" t="str">
        <x:v>復盤能力</x:v>
      </x:c>
      <x:c r="C10" s="34" t="str">
        <x:v>從結果反推判斷與流程的改善點</x:v>
      </x:c>
      <x:c r="D10" s="37"/>
      <x:c r="E10" s="41" t="n">
        <x:v>3</x:v>
      </x:c>
      <x:c r="F10" s="28" t="str">
        <x:f>IF(OR(D10="",E10=""),"",E10-D10)</x:f>
      </x:c>
      <x:c r="G10" s="28" t="str">
        <x:v>E0</x:v>
      </x:c>
      <x:c r="H10" s="28" t="str">
        <x:v>低</x:v>
      </x:c>
      <x:c r="I10" s="28" t="str">
        <x:v>否</x:v>
      </x:c>
      <x:c r="J10" s="31" t="str">
        <x:v>待本人盤點</x:v>
      </x:c>
    </x:row>
    <x:row r="11">
      <x:c r="A11" s="20" t="str">
        <x:v>ERP與流程</x:v>
      </x:c>
      <x:c r="B11" s="28" t="str">
        <x:v>跨模組流程理解</x:v>
      </x:c>
      <x:c r="C11" s="34" t="str">
        <x:v>理解訂單、採購、庫存、財會等資料連動</x:v>
      </x:c>
      <x:c r="D11" s="37"/>
      <x:c r="E11" s="41" t="n">
        <x:v>3</x:v>
      </x:c>
      <x:c r="F11" s="28" t="str">
        <x:f>IF(OR(D11="",E11=""),"",E11-D11)</x:f>
      </x:c>
      <x:c r="G11" s="28" t="str">
        <x:v>E0</x:v>
      </x:c>
      <x:c r="H11" s="28" t="str">
        <x:v>低</x:v>
      </x:c>
      <x:c r="I11" s="28" t="str">
        <x:v>否</x:v>
      </x:c>
      <x:c r="J11" s="31" t="str">
        <x:v>待本人盤點</x:v>
      </x:c>
    </x:row>
    <x:row r="12">
      <x:c r="A12" s="20" t="str">
        <x:v>ERP與流程</x:v>
      </x:c>
      <x:c r="B12" s="28" t="str">
        <x:v>主資料治理</x:v>
      </x:c>
      <x:c r="C12" s="34" t="str">
        <x:v>辨識編碼、責任、品質與變更控制</x:v>
      </x:c>
      <x:c r="D12" s="37"/>
      <x:c r="E12" s="41" t="n">
        <x:v>3</x:v>
      </x:c>
      <x:c r="F12" s="28" t="str">
        <x:f>IF(OR(D12="",E12=""),"",E12-D12)</x:f>
      </x:c>
      <x:c r="G12" s="28" t="str">
        <x:v>E0</x:v>
      </x:c>
      <x:c r="H12" s="28" t="str">
        <x:v>低</x:v>
      </x:c>
      <x:c r="I12" s="28" t="str">
        <x:v>否</x:v>
      </x:c>
      <x:c r="J12" s="31" t="str">
        <x:v>待本人盤點</x:v>
      </x:c>
    </x:row>
    <x:row r="13">
      <x:c r="A13" s="20" t="str">
        <x:v>ERP與流程</x:v>
      </x:c>
      <x:c r="B13" s="28" t="str">
        <x:v>內控與權責</x:v>
      </x:c>
      <x:c r="C13" s="34" t="str">
        <x:v>設計授權、核准、勾稽、追溯及例外</x:v>
      </x:c>
      <x:c r="D13" s="37"/>
      <x:c r="E13" s="41" t="n">
        <x:v>3</x:v>
      </x:c>
      <x:c r="F13" s="28" t="str">
        <x:f>IF(OR(D13="",E13=""),"",E13-D13)</x:f>
      </x:c>
      <x:c r="G13" s="28" t="str">
        <x:v>E0</x:v>
      </x:c>
      <x:c r="H13" s="28" t="str">
        <x:v>低</x:v>
      </x:c>
      <x:c r="I13" s="28" t="str">
        <x:v>否</x:v>
      </x:c>
      <x:c r="J13" s="31" t="str">
        <x:v>待本人盤點</x:v>
      </x:c>
    </x:row>
    <x:row r="14">
      <x:c r="A14" s="20" t="str">
        <x:v>ERP與流程</x:v>
      </x:c>
      <x:c r="B14" s="28" t="str">
        <x:v>流程異常診斷</x:v>
      </x:c>
      <x:c r="C14" s="34" t="str">
        <x:v>區分系統、資料、流程及人的原因</x:v>
      </x:c>
      <x:c r="D14" s="37"/>
      <x:c r="E14" s="41" t="n">
        <x:v>3</x:v>
      </x:c>
      <x:c r="F14" s="28" t="str">
        <x:f>IF(OR(D14="",E14=""),"",E14-D14)</x:f>
      </x:c>
      <x:c r="G14" s="28" t="str">
        <x:v>E0</x:v>
      </x:c>
      <x:c r="H14" s="28" t="str">
        <x:v>低</x:v>
      </x:c>
      <x:c r="I14" s="28" t="str">
        <x:v>否</x:v>
      </x:c>
      <x:c r="J14" s="31" t="str">
        <x:v>待本人盤點</x:v>
      </x:c>
    </x:row>
    <x:row r="15">
      <x:c r="A15" s="20" t="str">
        <x:v>ERP與流程</x:v>
      </x:c>
      <x:c r="B15" s="28" t="str">
        <x:v>產業情境理解</x:v>
      </x:c>
      <x:c r="C15" s="34" t="str">
        <x:v>將標準流程調整為可落地產業作法</x:v>
      </x:c>
      <x:c r="D15" s="37"/>
      <x:c r="E15" s="41" t="n">
        <x:v>3</x:v>
      </x:c>
      <x:c r="F15" s="28" t="str">
        <x:f>IF(OR(D15="",E15=""),"",E15-D15)</x:f>
      </x:c>
      <x:c r="G15" s="28" t="str">
        <x:v>E0</x:v>
      </x:c>
      <x:c r="H15" s="28" t="str">
        <x:v>低</x:v>
      </x:c>
      <x:c r="I15" s="28" t="str">
        <x:v>否</x:v>
      </x:c>
      <x:c r="J15" s="31" t="str">
        <x:v>待本人盤點</x:v>
      </x:c>
    </x:row>
    <x:row r="16">
      <x:c r="A16" s="20" t="str">
        <x:v>資料與AI</x:v>
      </x:c>
      <x:c r="B16" s="28" t="str">
        <x:v>Excel與資料整理</x:v>
      </x:c>
      <x:c r="C16" s="34" t="str">
        <x:v>可重現地清理、比對及彙總資料</x:v>
      </x:c>
      <x:c r="D16" s="37"/>
      <x:c r="E16" s="41" t="n">
        <x:v>3</x:v>
      </x:c>
      <x:c r="F16" s="28" t="str">
        <x:f>IF(OR(D16="",E16=""),"",E16-D16)</x:f>
      </x:c>
      <x:c r="G16" s="28" t="str">
        <x:v>E0</x:v>
      </x:c>
      <x:c r="H16" s="28" t="str">
        <x:v>低</x:v>
      </x:c>
      <x:c r="I16" s="28" t="str">
        <x:v>否</x:v>
      </x:c>
      <x:c r="J16" s="31" t="str">
        <x:v>待本人盤點</x:v>
      </x:c>
    </x:row>
    <x:row r="17">
      <x:c r="A17" s="20" t="str">
        <x:v>資料與AI</x:v>
      </x:c>
      <x:c r="B17" s="28" t="str">
        <x:v>SQL查詢</x:v>
      </x:c>
      <x:c r="C17" s="34" t="str">
        <x:v>跨單據查核差異並解釋結果</x:v>
      </x:c>
      <x:c r="D17" s="37"/>
      <x:c r="E17" s="41" t="n">
        <x:v>3</x:v>
      </x:c>
      <x:c r="F17" s="28" t="str">
        <x:f>IF(OR(D17="",E17=""),"",E17-D17)</x:f>
      </x:c>
      <x:c r="G17" s="28" t="str">
        <x:v>E0</x:v>
      </x:c>
      <x:c r="H17" s="28" t="str">
        <x:v>低</x:v>
      </x:c>
      <x:c r="I17" s="28" t="str">
        <x:v>否</x:v>
      </x:c>
      <x:c r="J17" s="31" t="str">
        <x:v>待本人盤點</x:v>
      </x:c>
    </x:row>
    <x:row r="18">
      <x:c r="A18" s="20" t="str">
        <x:v>資料與AI</x:v>
      </x:c>
      <x:c r="B18" s="28" t="str">
        <x:v>資料品質</x:v>
      </x:c>
      <x:c r="C18" s="34" t="str">
        <x:v>檢查完整性、一致性、正確性與時效</x:v>
      </x:c>
      <x:c r="D18" s="37"/>
      <x:c r="E18" s="41" t="n">
        <x:v>3</x:v>
      </x:c>
      <x:c r="F18" s="28" t="str">
        <x:f>IF(OR(D18="",E18=""),"",E18-D18)</x:f>
      </x:c>
      <x:c r="G18" s="28" t="str">
        <x:v>E0</x:v>
      </x:c>
      <x:c r="H18" s="28" t="str">
        <x:v>低</x:v>
      </x:c>
      <x:c r="I18" s="28" t="str">
        <x:v>否</x:v>
      </x:c>
      <x:c r="J18" s="31" t="str">
        <x:v>待本人盤點</x:v>
      </x:c>
    </x:row>
    <x:row r="19">
      <x:c r="A19" s="20" t="str">
        <x:v>資料與AI</x:v>
      </x:c>
      <x:c r="B19" s="28" t="str">
        <x:v>API與整合概念</x:v>
      </x:c>
      <x:c r="C19" s="34" t="str">
        <x:v>理解事件、欄位、錯誤、重送與權限</x:v>
      </x:c>
      <x:c r="D19" s="37"/>
      <x:c r="E19" s="41" t="n">
        <x:v>3</x:v>
      </x:c>
      <x:c r="F19" s="28" t="str">
        <x:f>IF(OR(D19="",E19=""),"",E19-D19)</x:f>
      </x:c>
      <x:c r="G19" s="28" t="str">
        <x:v>E0</x:v>
      </x:c>
      <x:c r="H19" s="28" t="str">
        <x:v>低</x:v>
      </x:c>
      <x:c r="I19" s="28" t="str">
        <x:v>否</x:v>
      </x:c>
      <x:c r="J19" s="31" t="str">
        <x:v>待本人盤點</x:v>
      </x:c>
    </x:row>
    <x:row r="20">
      <x:c r="A20" s="20" t="str">
        <x:v>資料與AI</x:v>
      </x:c>
      <x:c r="B20" s="28" t="str">
        <x:v>AI協作設計</x:v>
      </x:c>
      <x:c r="C20" s="34" t="str">
        <x:v>定義輸入、上下文、工具及人工判斷點</x:v>
      </x:c>
      <x:c r="D20" s="37"/>
      <x:c r="E20" s="41" t="n">
        <x:v>3</x:v>
      </x:c>
      <x:c r="F20" s="28" t="str">
        <x:f>IF(OR(D20="",E20=""),"",E20-D20)</x:f>
      </x:c>
      <x:c r="G20" s="28" t="str">
        <x:v>E0</x:v>
      </x:c>
      <x:c r="H20" s="28" t="str">
        <x:v>低</x:v>
      </x:c>
      <x:c r="I20" s="28" t="str">
        <x:v>否</x:v>
      </x:c>
      <x:c r="J20" s="31" t="str">
        <x:v>待本人盤點</x:v>
      </x:c>
    </x:row>
    <x:row r="21">
      <x:c r="A21" s="20" t="str">
        <x:v>資料與AI</x:v>
      </x:c>
      <x:c r="B21" s="28" t="str">
        <x:v>AI評測與驗證</x:v>
      </x:c>
      <x:c r="C21" s="34" t="str">
        <x:v>建立測試案例、門檻、抽查及復原方式</x:v>
      </x:c>
      <x:c r="D21" s="37"/>
      <x:c r="E21" s="41" t="n">
        <x:v>3</x:v>
      </x:c>
      <x:c r="F21" s="28" t="str">
        <x:f>IF(OR(D21="",E21=""),"",E21-D21)</x:f>
      </x:c>
      <x:c r="G21" s="28" t="str">
        <x:v>E0</x:v>
      </x:c>
      <x:c r="H21" s="28" t="str">
        <x:v>低</x:v>
      </x:c>
      <x:c r="I21" s="28" t="str">
        <x:v>否</x:v>
      </x:c>
      <x:c r="J21" s="31" t="str">
        <x:v>待本人盤點</x:v>
      </x:c>
    </x:row>
    <x:row r="22">
      <x:c r="A22" s="20" t="str">
        <x:v>資料與AI</x:v>
      </x:c>
      <x:c r="B22" s="28" t="str">
        <x:v>工作流自動化</x:v>
      </x:c>
      <x:c r="C22" s="34" t="str">
        <x:v>將重複任務改為可監控、可維護流程</x:v>
      </x:c>
      <x:c r="D22" s="37"/>
      <x:c r="E22" s="41" t="n">
        <x:v>3</x:v>
      </x:c>
      <x:c r="F22" s="28" t="str">
        <x:f>IF(OR(D22="",E22=""),"",E22-D22)</x:f>
      </x:c>
      <x:c r="G22" s="28" t="str">
        <x:v>E0</x:v>
      </x:c>
      <x:c r="H22" s="28" t="str">
        <x:v>低</x:v>
      </x:c>
      <x:c r="I22" s="28" t="str">
        <x:v>否</x:v>
      </x:c>
      <x:c r="J22" s="31" t="str">
        <x:v>待本人盤點</x:v>
      </x:c>
    </x:row>
    <x:row r="23">
      <x:c r="A23" s="20" t="str">
        <x:v>顧問能力</x:v>
      </x:c>
      <x:c r="B23" s="28" t="str">
        <x:v>訪談與提問</x:v>
      </x:c>
      <x:c r="C23" s="34" t="str">
        <x:v>取得事實、例外、矛盾及利害關係</x:v>
      </x:c>
      <x:c r="D23" s="37"/>
      <x:c r="E23" s="41" t="n">
        <x:v>3</x:v>
      </x:c>
      <x:c r="F23" s="28" t="str">
        <x:f>IF(OR(D23="",E23=""),"",E23-D23)</x:f>
      </x:c>
      <x:c r="G23" s="28" t="str">
        <x:v>E0</x:v>
      </x:c>
      <x:c r="H23" s="28" t="str">
        <x:v>低</x:v>
      </x:c>
      <x:c r="I23" s="28" t="str">
        <x:v>否</x:v>
      </x:c>
      <x:c r="J23" s="31" t="str">
        <x:v>待本人盤點</x:v>
      </x:c>
    </x:row>
    <x:row r="24">
      <x:c r="A24" s="20" t="str">
        <x:v>顧問能力</x:v>
      </x:c>
      <x:c r="B24" s="28" t="str">
        <x:v>需求分析</x:v>
      </x:c>
      <x:c r="C24" s="34" t="str">
        <x:v>把需求轉成範圍、規則、驗收與限制</x:v>
      </x:c>
      <x:c r="D24" s="37"/>
      <x:c r="E24" s="41" t="n">
        <x:v>3</x:v>
      </x:c>
      <x:c r="F24" s="28" t="str">
        <x:f>IF(OR(D24="",E24=""),"",E24-D24)</x:f>
      </x:c>
      <x:c r="G24" s="28" t="str">
        <x:v>E0</x:v>
      </x:c>
      <x:c r="H24" s="28" t="str">
        <x:v>低</x:v>
      </x:c>
      <x:c r="I24" s="28" t="str">
        <x:v>否</x:v>
      </x:c>
      <x:c r="J24" s="31" t="str">
        <x:v>待本人盤點</x:v>
      </x:c>
    </x:row>
    <x:row r="25">
      <x:c r="A25" s="20" t="str">
        <x:v>顧問能力</x:v>
      </x:c>
      <x:c r="B25" s="28" t="str">
        <x:v>流程設計</x:v>
      </x:c>
      <x:c r="C25" s="34" t="str">
        <x:v>區分現行、建議、系統、權責及例外</x:v>
      </x:c>
      <x:c r="D25" s="37"/>
      <x:c r="E25" s="41" t="n">
        <x:v>3</x:v>
      </x:c>
      <x:c r="F25" s="28" t="str">
        <x:f>IF(OR(D25="",E25=""),"",E25-D25)</x:f>
      </x:c>
      <x:c r="G25" s="28" t="str">
        <x:v>E0</x:v>
      </x:c>
      <x:c r="H25" s="28" t="str">
        <x:v>低</x:v>
      </x:c>
      <x:c r="I25" s="28" t="str">
        <x:v>否</x:v>
      </x:c>
      <x:c r="J25" s="31" t="str">
        <x:v>待本人盤點</x:v>
      </x:c>
    </x:row>
    <x:row r="26">
      <x:c r="A26" s="20" t="str">
        <x:v>顧問能力</x:v>
      </x:c>
      <x:c r="B26" s="28" t="str">
        <x:v>方案評估</x:v>
      </x:c>
      <x:c r="C26" s="34" t="str">
        <x:v>比較效益、成本、風險及副作用</x:v>
      </x:c>
      <x:c r="D26" s="37"/>
      <x:c r="E26" s="41" t="n">
        <x:v>3</x:v>
      </x:c>
      <x:c r="F26" s="28" t="str">
        <x:f>IF(OR(D26="",E26=""),"",E26-D26)</x:f>
      </x:c>
      <x:c r="G26" s="28" t="str">
        <x:v>E0</x:v>
      </x:c>
      <x:c r="H26" s="28" t="str">
        <x:v>低</x:v>
      </x:c>
      <x:c r="I26" s="28" t="str">
        <x:v>否</x:v>
      </x:c>
      <x:c r="J26" s="31" t="str">
        <x:v>待本人盤點</x:v>
      </x:c>
    </x:row>
    <x:row r="27">
      <x:c r="A27" s="20" t="str">
        <x:v>顧問能力</x:v>
      </x:c>
      <x:c r="B27" s="28" t="str">
        <x:v>測試與驗收</x:v>
      </x:c>
      <x:c r="C27" s="34" t="str">
        <x:v>建立案例並追蹤缺陷與通過條件</x:v>
      </x:c>
      <x:c r="D27" s="37"/>
      <x:c r="E27" s="41" t="n">
        <x:v>3</x:v>
      </x:c>
      <x:c r="F27" s="28" t="str">
        <x:f>IF(OR(D27="",E27=""),"",E27-D27)</x:f>
      </x:c>
      <x:c r="G27" s="28" t="str">
        <x:v>E0</x:v>
      </x:c>
      <x:c r="H27" s="28" t="str">
        <x:v>低</x:v>
      </x:c>
      <x:c r="I27" s="28" t="str">
        <x:v>否</x:v>
      </x:c>
      <x:c r="J27" s="31" t="str">
        <x:v>待本人盤點</x:v>
      </x:c>
    </x:row>
    <x:row r="28">
      <x:c r="A28" s="20" t="str">
        <x:v>顧問能力</x:v>
      </x:c>
      <x:c r="B28" s="28" t="str">
        <x:v>導入與變更管理</x:v>
      </x:c>
      <x:c r="C28" s="34" t="str">
        <x:v>讓使用者理解、採用並維持新作法</x:v>
      </x:c>
      <x:c r="D28" s="37"/>
      <x:c r="E28" s="41" t="n">
        <x:v>3</x:v>
      </x:c>
      <x:c r="F28" s="28" t="str">
        <x:f>IF(OR(D28="",E28=""),"",E28-D28)</x:f>
      </x:c>
      <x:c r="G28" s="28" t="str">
        <x:v>E0</x:v>
      </x:c>
      <x:c r="H28" s="28" t="str">
        <x:v>低</x:v>
      </x:c>
      <x:c r="I28" s="28" t="str">
        <x:v>否</x:v>
      </x:c>
      <x:c r="J28" s="31" t="str">
        <x:v>待本人盤點</x:v>
      </x:c>
    </x:row>
    <x:row r="29">
      <x:c r="A29" s="20" t="str">
        <x:v>軟實力</x:v>
      </x:c>
      <x:c r="B29" s="28" t="str">
        <x:v>傾聽與同理</x:v>
      </x:c>
      <x:c r="C29" s="34" t="str">
        <x:v>理解對方意圖、限制及未明說顧慮</x:v>
      </x:c>
      <x:c r="D29" s="37"/>
      <x:c r="E29" s="41" t="n">
        <x:v>3</x:v>
      </x:c>
      <x:c r="F29" s="28" t="str">
        <x:f>IF(OR(D29="",E29=""),"",E29-D29)</x:f>
      </x:c>
      <x:c r="G29" s="28" t="str">
        <x:v>E0</x:v>
      </x:c>
      <x:c r="H29" s="28" t="str">
        <x:v>低</x:v>
      </x:c>
      <x:c r="I29" s="28" t="str">
        <x:v>否</x:v>
      </x:c>
      <x:c r="J29" s="31" t="str">
        <x:v>待本人盤點</x:v>
      </x:c>
    </x:row>
    <x:row r="30">
      <x:c r="A30" s="20" t="str">
        <x:v>軟實力</x:v>
      </x:c>
      <x:c r="B30" s="28" t="str">
        <x:v>口頭表達</x:v>
      </x:c>
      <x:c r="C30" s="34" t="str">
        <x:v>依對象清楚說明結論、依據與行動</x:v>
      </x:c>
      <x:c r="D30" s="37"/>
      <x:c r="E30" s="41" t="n">
        <x:v>3</x:v>
      </x:c>
      <x:c r="F30" s="28" t="str">
        <x:f>IF(OR(D30="",E30=""),"",E30-D30)</x:f>
      </x:c>
      <x:c r="G30" s="28" t="str">
        <x:v>E0</x:v>
      </x:c>
      <x:c r="H30" s="28" t="str">
        <x:v>低</x:v>
      </x:c>
      <x:c r="I30" s="28" t="str">
        <x:v>否</x:v>
      </x:c>
      <x:c r="J30" s="31" t="str">
        <x:v>待本人盤點</x:v>
      </x:c>
    </x:row>
    <x:row r="31">
      <x:c r="A31" s="20" t="str">
        <x:v>軟實力</x:v>
      </x:c>
      <x:c r="B31" s="28" t="str">
        <x:v>書面表達</x:v>
      </x:c>
      <x:c r="C31" s="34" t="str">
        <x:v>產出可執行、可追溯的正式文件</x:v>
      </x:c>
      <x:c r="D31" s="37"/>
      <x:c r="E31" s="41" t="n">
        <x:v>3</x:v>
      </x:c>
      <x:c r="F31" s="28" t="str">
        <x:f>IF(OR(D31="",E31=""),"",E31-D31)</x:f>
      </x:c>
      <x:c r="G31" s="28" t="str">
        <x:v>E0</x:v>
      </x:c>
      <x:c r="H31" s="28" t="str">
        <x:v>低</x:v>
      </x:c>
      <x:c r="I31" s="28" t="str">
        <x:v>否</x:v>
      </x:c>
      <x:c r="J31" s="31" t="str">
        <x:v>待本人盤點</x:v>
      </x:c>
    </x:row>
    <x:row r="32">
      <x:c r="A32" s="20" t="str">
        <x:v>軟實力</x:v>
      </x:c>
      <x:c r="B32" s="28" t="str">
        <x:v>說服與談判</x:v>
      </x:c>
      <x:c r="C32" s="34" t="str">
        <x:v>在利益不同時形成可接受方案</x:v>
      </x:c>
      <x:c r="D32" s="37"/>
      <x:c r="E32" s="41" t="n">
        <x:v>3</x:v>
      </x:c>
      <x:c r="F32" s="28" t="str">
        <x:f>IF(OR(D32="",E32=""),"",E32-D32)</x:f>
      </x:c>
      <x:c r="G32" s="28" t="str">
        <x:v>E0</x:v>
      </x:c>
      <x:c r="H32" s="28" t="str">
        <x:v>低</x:v>
      </x:c>
      <x:c r="I32" s="28" t="str">
        <x:v>否</x:v>
      </x:c>
      <x:c r="J32" s="31" t="str">
        <x:v>待本人盤點</x:v>
      </x:c>
    </x:row>
    <x:row r="33">
      <x:c r="A33" s="20" t="str">
        <x:v>軟實力</x:v>
      </x:c>
      <x:c r="B33" s="28" t="str">
        <x:v>衝突處理</x:v>
      </x:c>
      <x:c r="C33" s="34" t="str">
        <x:v>區分事實、立場與利益並促成決策</x:v>
      </x:c>
      <x:c r="D33" s="37"/>
      <x:c r="E33" s="41" t="n">
        <x:v>3</x:v>
      </x:c>
      <x:c r="F33" s="28" t="str">
        <x:f>IF(OR(D33="",E33=""),"",E33-D33)</x:f>
      </x:c>
      <x:c r="G33" s="28" t="str">
        <x:v>E0</x:v>
      </x:c>
      <x:c r="H33" s="28" t="str">
        <x:v>低</x:v>
      </x:c>
      <x:c r="I33" s="28" t="str">
        <x:v>否</x:v>
      </x:c>
      <x:c r="J33" s="31" t="str">
        <x:v>待本人盤點</x:v>
      </x:c>
    </x:row>
    <x:row r="34">
      <x:c r="A34" s="20" t="str">
        <x:v>軟實力</x:v>
      </x:c>
      <x:c r="B34" s="28" t="str">
        <x:v>跨部門協作</x:v>
      </x:c>
      <x:c r="C34" s="34" t="str">
        <x:v>管理依賴、承諾、資訊與責任</x:v>
      </x:c>
      <x:c r="D34" s="37"/>
      <x:c r="E34" s="41" t="n">
        <x:v>3</x:v>
      </x:c>
      <x:c r="F34" s="28" t="str">
        <x:f>IF(OR(D34="",E34=""),"",E34-D34)</x:f>
      </x:c>
      <x:c r="G34" s="28" t="str">
        <x:v>E0</x:v>
      </x:c>
      <x:c r="H34" s="28" t="str">
        <x:v>低</x:v>
      </x:c>
      <x:c r="I34" s="28" t="str">
        <x:v>否</x:v>
      </x:c>
      <x:c r="J34" s="31" t="str">
        <x:v>待本人盤點</x:v>
      </x:c>
    </x:row>
    <x:row r="35">
      <x:c r="A35" s="20" t="str">
        <x:v>軟實力</x:v>
      </x:c>
      <x:c r="B35" s="28" t="str">
        <x:v>建立信任</x:v>
      </x:c>
      <x:c r="C35" s="34" t="str">
        <x:v>保持一致、透明、守密並對承諾負責</x:v>
      </x:c>
      <x:c r="D35" s="37"/>
      <x:c r="E35" s="41" t="n">
        <x:v>3</x:v>
      </x:c>
      <x:c r="F35" s="28" t="str">
        <x:f>IF(OR(D35="",E35=""),"",E35-D35)</x:f>
      </x:c>
      <x:c r="G35" s="28" t="str">
        <x:v>E0</x:v>
      </x:c>
      <x:c r="H35" s="28" t="str">
        <x:v>低</x:v>
      </x:c>
      <x:c r="I35" s="28" t="str">
        <x:v>否</x:v>
      </x:c>
      <x:c r="J35" s="31" t="str">
        <x:v>待本人盤點</x:v>
      </x:c>
    </x:row>
    <x:row r="36">
      <x:c r="A36" s="20" t="str">
        <x:v>執行與身心</x:v>
      </x:c>
      <x:c r="B36" s="28" t="str">
        <x:v>專注與時間配置</x:v>
      </x:c>
      <x:c r="C36" s="34" t="str">
        <x:v>保護高價值工作時間並減少切換</x:v>
      </x:c>
      <x:c r="D36" s="37"/>
      <x:c r="E36" s="41" t="n">
        <x:v>3</x:v>
      </x:c>
      <x:c r="F36" s="28" t="str">
        <x:f>IF(OR(D36="",E36=""),"",E36-D36)</x:f>
      </x:c>
      <x:c r="G36" s="28" t="str">
        <x:v>E0</x:v>
      </x:c>
      <x:c r="H36" s="28" t="str">
        <x:v>低</x:v>
      </x:c>
      <x:c r="I36" s="28" t="str">
        <x:v>否</x:v>
      </x:c>
      <x:c r="J36" s="31" t="str">
        <x:v>待本人盤點</x:v>
      </x:c>
    </x:row>
    <x:row r="37">
      <x:c r="A37" s="20" t="str">
        <x:v>執行與身心</x:v>
      </x:c>
      <x:c r="B37" s="28" t="str">
        <x:v>情緒與壓力調節</x:v>
      </x:c>
      <x:c r="C37" s="34" t="str">
        <x:v>在高壓下保持判斷並適時求助</x:v>
      </x:c>
      <x:c r="D37" s="37"/>
      <x:c r="E37" s="41" t="n">
        <x:v>3</x:v>
      </x:c>
      <x:c r="F37" s="28" t="str">
        <x:f>IF(OR(D37="",E37=""),"",E37-D37)</x:f>
      </x:c>
      <x:c r="G37" s="28" t="str">
        <x:v>E0</x:v>
      </x:c>
      <x:c r="H37" s="28" t="str">
        <x:v>低</x:v>
      </x:c>
      <x:c r="I37" s="28" t="str">
        <x:v>否</x:v>
      </x:c>
      <x:c r="J37" s="31" t="str">
        <x:v>待本人盤點</x:v>
      </x:c>
    </x:row>
    <x:row r="38">
      <x:c r="A38" s="20" t="str">
        <x:v>執行與身心</x:v>
      </x:c>
      <x:c r="B38" s="28" t="str">
        <x:v>韌性與復原</x:v>
      </x:c>
      <x:c r="C38" s="34" t="str">
        <x:v>從失敗恢復且調整方法</x:v>
      </x:c>
      <x:c r="D38" s="37"/>
      <x:c r="E38" s="41" t="n">
        <x:v>3</x:v>
      </x:c>
      <x:c r="F38" s="28" t="str">
        <x:f>IF(OR(D38="",E38=""),"",E38-D38)</x:f>
      </x:c>
      <x:c r="G38" s="28" t="str">
        <x:v>E0</x:v>
      </x:c>
      <x:c r="H38" s="28" t="str">
        <x:v>低</x:v>
      </x:c>
      <x:c r="I38" s="28" t="str">
        <x:v>否</x:v>
      </x:c>
      <x:c r="J38" s="31" t="str">
        <x:v>待本人盤點</x:v>
      </x:c>
    </x:row>
    <x:row r="39">
      <x:c r="A39" s="20" t="str">
        <x:v>執行與身心</x:v>
      </x:c>
      <x:c r="B39" s="28" t="str">
        <x:v>持續學習</x:v>
      </x:c>
      <x:c r="C39" s="34" t="str">
        <x:v>以真實問題驅動輸入、練習與反饋</x:v>
      </x:c>
      <x:c r="D39" s="37"/>
      <x:c r="E39" s="41" t="n">
        <x:v>3</x:v>
      </x:c>
      <x:c r="F39" s="28" t="str">
        <x:f>IF(OR(D39="",E39=""),"",E39-D39)</x:f>
      </x:c>
      <x:c r="G39" s="28" t="str">
        <x:v>E0</x:v>
      </x:c>
      <x:c r="H39" s="28" t="str">
        <x:v>低</x:v>
      </x:c>
      <x:c r="I39" s="28" t="str">
        <x:v>否</x:v>
      </x:c>
      <x:c r="J39" s="31" t="str">
        <x:v>待本人盤點</x:v>
      </x:c>
    </x:row>
    <x:row r="40">
      <x:c r="A40" s="20" t="str">
        <x:v>職涯與市場</x:v>
      </x:c>
      <x:c r="B40" s="28" t="str">
        <x:v>作品與案例</x:v>
      </x:c>
      <x:c r="C40" s="34" t="str">
        <x:v>以去識別化成果證明能力</x:v>
      </x:c>
      <x:c r="D40" s="37"/>
      <x:c r="E40" s="41" t="n">
        <x:v>3</x:v>
      </x:c>
      <x:c r="F40" s="28" t="str">
        <x:f>IF(OR(D40="",E40=""),"",E40-D40)</x:f>
      </x:c>
      <x:c r="G40" s="28" t="str">
        <x:v>E0</x:v>
      </x:c>
      <x:c r="H40" s="28" t="str">
        <x:v>低</x:v>
      </x:c>
      <x:c r="I40" s="28" t="str">
        <x:v>否</x:v>
      </x:c>
      <x:c r="J40" s="31" t="str">
        <x:v>待本人盤點</x:v>
      </x:c>
    </x:row>
    <x:row r="41">
      <x:c r="A41" s="20" t="str">
        <x:v>職涯與市場</x:v>
      </x:c>
      <x:c r="B41" s="28" t="str">
        <x:v>方法論資產</x:v>
      </x:c>
      <x:c r="C41" s="34" t="str">
        <x:v>將經驗形成可重用、可教導的方法</x:v>
      </x:c>
      <x:c r="D41" s="37"/>
      <x:c r="E41" s="41" t="n">
        <x:v>3</x:v>
      </x:c>
      <x:c r="F41" s="28" t="str">
        <x:f>IF(OR(D41="",E41=""),"",E41-D41)</x:f>
      </x:c>
      <x:c r="G41" s="28" t="str">
        <x:v>E0</x:v>
      </x:c>
      <x:c r="H41" s="28" t="str">
        <x:v>低</x:v>
      </x:c>
      <x:c r="I41" s="28" t="str">
        <x:v>否</x:v>
      </x:c>
      <x:c r="J41" s="31" t="str">
        <x:v>待本人盤點</x:v>
      </x:c>
    </x:row>
    <x:row r="42">
      <x:c r="A42" s="20" t="str">
        <x:v>職涯與市場</x:v>
      </x:c>
      <x:c r="B42" s="28" t="str">
        <x:v>專業關係網絡</x:v>
      </x:c>
      <x:c r="C42" s="34" t="str">
        <x:v>建立可交換知識、機會與回饋的關係</x:v>
      </x:c>
      <x:c r="D42" s="37"/>
      <x:c r="E42" s="41" t="n">
        <x:v>3</x:v>
      </x:c>
      <x:c r="F42" s="28" t="str">
        <x:f>IF(OR(D42="",E42=""),"",E42-D42)</x:f>
      </x:c>
      <x:c r="G42" s="28" t="str">
        <x:v>E0</x:v>
      </x:c>
      <x:c r="H42" s="28" t="str">
        <x:v>低</x:v>
      </x:c>
      <x:c r="I42" s="28" t="str">
        <x:v>否</x:v>
      </x:c>
      <x:c r="J42" s="31" t="str">
        <x:v>待本人盤點</x:v>
      </x:c>
    </x:row>
    <x:row r="43">
      <x:c r="A43" s="22" t="str">
        <x:v>職涯與市場</x:v>
      </x:c>
      <x:c r="B43" s="29" t="str">
        <x:v>職涯選擇權</x:v>
      </x:c>
      <x:c r="C43" s="35" t="str">
        <x:v>降低對單一公司、工具或產品的依賴</x:v>
      </x:c>
      <x:c r="D43" s="38"/>
      <x:c r="E43" s="42" t="n">
        <x:v>3</x:v>
      </x:c>
      <x:c r="F43" s="29" t="str">
        <x:f>IF(OR(D43="",E43=""),"",E43-D43)</x:f>
      </x:c>
      <x:c r="G43" s="29" t="str">
        <x:v>E0</x:v>
      </x:c>
      <x:c r="H43" s="29" t="str">
        <x:v>低</x:v>
      </x:c>
      <x:c r="I43" s="29" t="str">
        <x:v>否</x:v>
      </x:c>
      <x:c r="J43" s="32" t="str">
        <x:v>待本人盤點</x:v>
      </x:c>
    </x:row>
    <x:row r="44">
      <x:c r="D44" s="39"/>
      <x:c r="E44" s="43"/>
    </x:row>
    <x:row r="45">
      <x:c r="D45" s="39"/>
      <x:c r="E45" s="43"/>
    </x:row>
    <x:row r="46">
      <x:c r="D46" s="39"/>
      <x:c r="E46" s="43"/>
    </x:row>
    <x:row r="47">
      <x:c r="D47" s="39"/>
      <x:c r="E47" s="43"/>
    </x:row>
    <x:row r="48">
      <x:c r="D48" s="39"/>
      <x:c r="E48" s="43"/>
    </x:row>
    <x:row r="49">
      <x:c r="D49" s="39"/>
      <x:c r="E49" s="43"/>
    </x:row>
    <x:row r="50">
      <x:c r="D50" s="39"/>
      <x:c r="E50" s="43"/>
    </x:row>
  </x:sheetData>
  <x:mergeCells>
    <x:mergeCell ref="A1:J1"/>
  </x:mergeCells>
  <x:dataValidations count="4">
    <x:dataValidation type="whole" operator="between" sqref="D4:E43">
      <x:formula1>0</x:formula1>
      <x:formula2>5</x:formula2>
    </x:dataValidation>
    <x:dataValidation type="list" sqref="G4:G43">
      <x:formula1>"E0,E1,E2,E3,E4"</x:formula1>
    </x:dataValidation>
    <x:dataValidation type="list" sqref="H4:H43">
      <x:formula1>"低,中,高"</x:formula1>
    </x:dataValidation>
    <x:dataValidation type="list" sqref="I4:I43">
      <x:formula1>"是,否"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6" hidden="0" customWidth="1"/>
    <x:col min="4" max="4" width="20" hidden="0" customWidth="1"/>
    <x:col min="5" max="5" width="12" hidden="0" customWidth="1"/>
    <x:col min="6" max="6" width="34" hidden="0" customWidth="1"/>
    <x:col min="7" max="7" width="34" hidden="0" customWidth="1"/>
    <x:col min="8" max="8" width="28" hidden="0" customWidth="1"/>
    <x:col min="9" max="9" width="28" hidden="0" customWidth="1"/>
    <x:col min="10" max="10" width="36" hidden="0" customWidth="1"/>
    <x:col min="11" max="11" width="13" hidden="0" customWidth="1"/>
    <x:col min="12" max="12" width="30" hidden="0" customWidth="1"/>
  </x:cols>
  <x:sheetData>
    <x:row r="1" ht="34" customHeight="1">
      <x:c r="A1" s="3" t="str">
        <x:v>能力證據紀錄</x:v>
      </x:c>
      <x:c r="B1" s="3" t="str">
        <x:v>能力證據紀錄</x:v>
      </x:c>
      <x:c r="C1" s="3" t="str">
        <x:v>能力證據紀錄</x:v>
      </x:c>
      <x:c r="D1" s="3" t="str">
        <x:v>能力證據紀錄</x:v>
      </x:c>
      <x:c r="E1" s="3" t="str">
        <x:v>能力證據紀錄</x:v>
      </x:c>
      <x:c r="F1" s="3" t="str">
        <x:v>能力證據紀錄</x:v>
      </x:c>
      <x:c r="G1" s="3" t="str">
        <x:v>能力證據紀錄</x:v>
      </x:c>
      <x:c r="H1" s="3" t="str">
        <x:v>能力證據紀錄</x:v>
      </x:c>
      <x:c r="I1" s="3" t="str">
        <x:v>能力證據紀錄</x:v>
      </x:c>
      <x:c r="J1" s="3" t="str">
        <x:v>能力證據紀錄</x:v>
      </x:c>
      <x:c r="K1" s="3" t="str">
        <x:v>能力證據紀錄</x:v>
      </x:c>
      <x:c r="L1" s="3" t="str">
        <x:v>能力證據紀錄</x:v>
      </x:c>
    </x:row>
    <x:row r="3" ht="28" customHeight="1">
      <x:c r="A3" s="11" t="str">
        <x:v>證據ID</x:v>
      </x:c>
      <x:c r="B3" s="11" t="str">
        <x:v>日期</x:v>
      </x:c>
      <x:c r="C3" s="11" t="str">
        <x:v>能力領域</x:v>
      </x:c>
      <x:c r="D3" s="11" t="str">
        <x:v>能力</x:v>
      </x:c>
      <x:c r="E3" s="11" t="str">
        <x:v>證據等級</x:v>
      </x:c>
      <x:c r="F3" s="11" t="str">
        <x:v>情境／任務</x:v>
      </x:c>
      <x:c r="G3" s="11" t="str">
        <x:v>實際行動</x:v>
      </x:c>
      <x:c r="H3" s="11" t="str">
        <x:v>結果</x:v>
      </x:c>
      <x:c r="I3" s="11" t="str">
        <x:v>外部回饋</x:v>
      </x:c>
      <x:c r="J3" s="11" t="str">
        <x:v>檔案連結</x:v>
      </x:c>
      <x:c r="K3" s="11" t="str">
        <x:v>去識別化</x:v>
      </x:c>
      <x:c r="L3" s="11" t="str">
        <x:v>下次改善</x:v>
      </x:c>
    </x:row>
    <x:row r="4" ht="32" customHeight="1">
      <x:c r="A4" s="18"/>
      <x:c r="B4" s="44"/>
      <x:c r="C4" s="27"/>
      <x:c r="D4" s="27"/>
      <x:c r="E4" s="27"/>
      <x:c r="F4" s="27"/>
      <x:c r="G4" s="27"/>
      <x:c r="H4" s="27"/>
      <x:c r="I4" s="27"/>
      <x:c r="J4" s="27"/>
      <x:c r="K4" s="27"/>
      <x:c r="L4" s="19"/>
    </x:row>
    <x:row r="5" ht="32" customHeight="1">
      <x:c r="A5" s="20"/>
      <x:c r="B5" s="45"/>
      <x:c r="C5" s="28"/>
      <x:c r="D5" s="28"/>
      <x:c r="E5" s="28"/>
      <x:c r="F5" s="28"/>
      <x:c r="G5" s="28"/>
      <x:c r="H5" s="28"/>
      <x:c r="I5" s="28"/>
      <x:c r="J5" s="28"/>
      <x:c r="K5" s="28"/>
      <x:c r="L5" s="21"/>
    </x:row>
    <x:row r="6" ht="32" customHeight="1">
      <x:c r="A6" s="20"/>
      <x:c r="B6" s="45"/>
      <x:c r="C6" s="28"/>
      <x:c r="D6" s="28"/>
      <x:c r="E6" s="28"/>
      <x:c r="F6" s="28"/>
      <x:c r="G6" s="28"/>
      <x:c r="H6" s="28"/>
      <x:c r="I6" s="28"/>
      <x:c r="J6" s="28"/>
      <x:c r="K6" s="28"/>
      <x:c r="L6" s="21"/>
    </x:row>
    <x:row r="7" ht="32" customHeight="1">
      <x:c r="A7" s="20"/>
      <x:c r="B7" s="45"/>
      <x:c r="C7" s="28"/>
      <x:c r="D7" s="28"/>
      <x:c r="E7" s="28"/>
      <x:c r="F7" s="28"/>
      <x:c r="G7" s="28"/>
      <x:c r="H7" s="28"/>
      <x:c r="I7" s="28"/>
      <x:c r="J7" s="28"/>
      <x:c r="K7" s="28"/>
      <x:c r="L7" s="21"/>
    </x:row>
    <x:row r="8" ht="32" customHeight="1">
      <x:c r="A8" s="20"/>
      <x:c r="B8" s="45"/>
      <x:c r="C8" s="28"/>
      <x:c r="D8" s="28"/>
      <x:c r="E8" s="28"/>
      <x:c r="F8" s="28"/>
      <x:c r="G8" s="28"/>
      <x:c r="H8" s="28"/>
      <x:c r="I8" s="28"/>
      <x:c r="J8" s="28"/>
      <x:c r="K8" s="28"/>
      <x:c r="L8" s="21"/>
    </x:row>
    <x:row r="9" ht="32" customHeight="1">
      <x:c r="A9" s="20"/>
      <x:c r="B9" s="45"/>
      <x:c r="C9" s="28"/>
      <x:c r="D9" s="28"/>
      <x:c r="E9" s="28"/>
      <x:c r="F9" s="28"/>
      <x:c r="G9" s="28"/>
      <x:c r="H9" s="28"/>
      <x:c r="I9" s="28"/>
      <x:c r="J9" s="28"/>
      <x:c r="K9" s="28"/>
      <x:c r="L9" s="21"/>
    </x:row>
    <x:row r="10" ht="32" customHeight="1">
      <x:c r="A10" s="20"/>
      <x:c r="B10" s="45"/>
      <x:c r="C10" s="28"/>
      <x:c r="D10" s="28"/>
      <x:c r="E10" s="28"/>
      <x:c r="F10" s="28"/>
      <x:c r="G10" s="28"/>
      <x:c r="H10" s="28"/>
      <x:c r="I10" s="28"/>
      <x:c r="J10" s="28"/>
      <x:c r="K10" s="28"/>
      <x:c r="L10" s="21"/>
    </x:row>
    <x:row r="11" ht="32" customHeight="1">
      <x:c r="A11" s="20"/>
      <x:c r="B11" s="45"/>
      <x:c r="C11" s="28"/>
      <x:c r="D11" s="28"/>
      <x:c r="E11" s="28"/>
      <x:c r="F11" s="28"/>
      <x:c r="G11" s="28"/>
      <x:c r="H11" s="28"/>
      <x:c r="I11" s="28"/>
      <x:c r="J11" s="28"/>
      <x:c r="K11" s="28"/>
      <x:c r="L11" s="21"/>
    </x:row>
    <x:row r="12" ht="32" customHeight="1">
      <x:c r="A12" s="20"/>
      <x:c r="B12" s="45"/>
      <x:c r="C12" s="28"/>
      <x:c r="D12" s="28"/>
      <x:c r="E12" s="28"/>
      <x:c r="F12" s="28"/>
      <x:c r="G12" s="28"/>
      <x:c r="H12" s="28"/>
      <x:c r="I12" s="28"/>
      <x:c r="J12" s="28"/>
      <x:c r="K12" s="28"/>
      <x:c r="L12" s="21"/>
    </x:row>
    <x:row r="13" ht="32" customHeight="1">
      <x:c r="A13" s="20"/>
      <x:c r="B13" s="45"/>
      <x:c r="C13" s="28"/>
      <x:c r="D13" s="28"/>
      <x:c r="E13" s="28"/>
      <x:c r="F13" s="28"/>
      <x:c r="G13" s="28"/>
      <x:c r="H13" s="28"/>
      <x:c r="I13" s="28"/>
      <x:c r="J13" s="28"/>
      <x:c r="K13" s="28"/>
      <x:c r="L13" s="21"/>
    </x:row>
    <x:row r="14" ht="32" customHeight="1">
      <x:c r="A14" s="20"/>
      <x:c r="B14" s="45"/>
      <x:c r="C14" s="28"/>
      <x:c r="D14" s="28"/>
      <x:c r="E14" s="28"/>
      <x:c r="F14" s="28"/>
      <x:c r="G14" s="28"/>
      <x:c r="H14" s="28"/>
      <x:c r="I14" s="28"/>
      <x:c r="J14" s="28"/>
      <x:c r="K14" s="28"/>
      <x:c r="L14" s="21"/>
    </x:row>
    <x:row r="15" ht="32" customHeight="1">
      <x:c r="A15" s="20"/>
      <x:c r="B15" s="45"/>
      <x:c r="C15" s="28"/>
      <x:c r="D15" s="28"/>
      <x:c r="E15" s="28"/>
      <x:c r="F15" s="28"/>
      <x:c r="G15" s="28"/>
      <x:c r="H15" s="28"/>
      <x:c r="I15" s="28"/>
      <x:c r="J15" s="28"/>
      <x:c r="K15" s="28"/>
      <x:c r="L15" s="21"/>
    </x:row>
    <x:row r="16" ht="32" customHeight="1">
      <x:c r="A16" s="20"/>
      <x:c r="B16" s="45"/>
      <x:c r="C16" s="28"/>
      <x:c r="D16" s="28"/>
      <x:c r="E16" s="28"/>
      <x:c r="F16" s="28"/>
      <x:c r="G16" s="28"/>
      <x:c r="H16" s="28"/>
      <x:c r="I16" s="28"/>
      <x:c r="J16" s="28"/>
      <x:c r="K16" s="28"/>
      <x:c r="L16" s="21"/>
    </x:row>
    <x:row r="17" ht="32" customHeight="1">
      <x:c r="A17" s="20"/>
      <x:c r="B17" s="45"/>
      <x:c r="C17" s="28"/>
      <x:c r="D17" s="28"/>
      <x:c r="E17" s="28"/>
      <x:c r="F17" s="28"/>
      <x:c r="G17" s="28"/>
      <x:c r="H17" s="28"/>
      <x:c r="I17" s="28"/>
      <x:c r="J17" s="28"/>
      <x:c r="K17" s="28"/>
      <x:c r="L17" s="21"/>
    </x:row>
    <x:row r="18" ht="32" customHeight="1">
      <x:c r="A18" s="20"/>
      <x:c r="B18" s="45"/>
      <x:c r="C18" s="28"/>
      <x:c r="D18" s="28"/>
      <x:c r="E18" s="28"/>
      <x:c r="F18" s="28"/>
      <x:c r="G18" s="28"/>
      <x:c r="H18" s="28"/>
      <x:c r="I18" s="28"/>
      <x:c r="J18" s="28"/>
      <x:c r="K18" s="28"/>
      <x:c r="L18" s="21"/>
    </x:row>
    <x:row r="19" ht="32" customHeight="1">
      <x:c r="A19" s="20"/>
      <x:c r="B19" s="45"/>
      <x:c r="C19" s="28"/>
      <x:c r="D19" s="28"/>
      <x:c r="E19" s="28"/>
      <x:c r="F19" s="28"/>
      <x:c r="G19" s="28"/>
      <x:c r="H19" s="28"/>
      <x:c r="I19" s="28"/>
      <x:c r="J19" s="28"/>
      <x:c r="K19" s="28"/>
      <x:c r="L19" s="21"/>
    </x:row>
    <x:row r="20" ht="32" customHeight="1">
      <x:c r="A20" s="20"/>
      <x:c r="B20" s="45"/>
      <x:c r="C20" s="28"/>
      <x:c r="D20" s="28"/>
      <x:c r="E20" s="28"/>
      <x:c r="F20" s="28"/>
      <x:c r="G20" s="28"/>
      <x:c r="H20" s="28"/>
      <x:c r="I20" s="28"/>
      <x:c r="J20" s="28"/>
      <x:c r="K20" s="28"/>
      <x:c r="L20" s="21"/>
    </x:row>
    <x:row r="21" ht="32" customHeight="1">
      <x:c r="A21" s="20"/>
      <x:c r="B21" s="45"/>
      <x:c r="C21" s="28"/>
      <x:c r="D21" s="28"/>
      <x:c r="E21" s="28"/>
      <x:c r="F21" s="28"/>
      <x:c r="G21" s="28"/>
      <x:c r="H21" s="28"/>
      <x:c r="I21" s="28"/>
      <x:c r="J21" s="28"/>
      <x:c r="K21" s="28"/>
      <x:c r="L21" s="21"/>
    </x:row>
    <x:row r="22" ht="32" customHeight="1">
      <x:c r="A22" s="20"/>
      <x:c r="B22" s="45"/>
      <x:c r="C22" s="28"/>
      <x:c r="D22" s="28"/>
      <x:c r="E22" s="28"/>
      <x:c r="F22" s="28"/>
      <x:c r="G22" s="28"/>
      <x:c r="H22" s="28"/>
      <x:c r="I22" s="28"/>
      <x:c r="J22" s="28"/>
      <x:c r="K22" s="28"/>
      <x:c r="L22" s="21"/>
    </x:row>
    <x:row r="23" ht="32" customHeight="1">
      <x:c r="A23" s="20"/>
      <x:c r="B23" s="45"/>
      <x:c r="C23" s="28"/>
      <x:c r="D23" s="28"/>
      <x:c r="E23" s="28"/>
      <x:c r="F23" s="28"/>
      <x:c r="G23" s="28"/>
      <x:c r="H23" s="28"/>
      <x:c r="I23" s="28"/>
      <x:c r="J23" s="28"/>
      <x:c r="K23" s="28"/>
      <x:c r="L23" s="21"/>
    </x:row>
    <x:row r="24" ht="32" customHeight="1">
      <x:c r="A24" s="20"/>
      <x:c r="B24" s="45"/>
      <x:c r="C24" s="28"/>
      <x:c r="D24" s="28"/>
      <x:c r="E24" s="28"/>
      <x:c r="F24" s="28"/>
      <x:c r="G24" s="28"/>
      <x:c r="H24" s="28"/>
      <x:c r="I24" s="28"/>
      <x:c r="J24" s="28"/>
      <x:c r="K24" s="28"/>
      <x:c r="L24" s="21"/>
    </x:row>
    <x:row r="25" ht="32" customHeight="1">
      <x:c r="A25" s="20"/>
      <x:c r="B25" s="45"/>
      <x:c r="C25" s="28"/>
      <x:c r="D25" s="28"/>
      <x:c r="E25" s="28"/>
      <x:c r="F25" s="28"/>
      <x:c r="G25" s="28"/>
      <x:c r="H25" s="28"/>
      <x:c r="I25" s="28"/>
      <x:c r="J25" s="28"/>
      <x:c r="K25" s="28"/>
      <x:c r="L25" s="21"/>
    </x:row>
    <x:row r="26" ht="32" customHeight="1">
      <x:c r="A26" s="20"/>
      <x:c r="B26" s="45"/>
      <x:c r="C26" s="28"/>
      <x:c r="D26" s="28"/>
      <x:c r="E26" s="28"/>
      <x:c r="F26" s="28"/>
      <x:c r="G26" s="28"/>
      <x:c r="H26" s="28"/>
      <x:c r="I26" s="28"/>
      <x:c r="J26" s="28"/>
      <x:c r="K26" s="28"/>
      <x:c r="L26" s="21"/>
    </x:row>
    <x:row r="27" ht="32" customHeight="1">
      <x:c r="A27" s="20"/>
      <x:c r="B27" s="45"/>
      <x:c r="C27" s="28"/>
      <x:c r="D27" s="28"/>
      <x:c r="E27" s="28"/>
      <x:c r="F27" s="28"/>
      <x:c r="G27" s="28"/>
      <x:c r="H27" s="28"/>
      <x:c r="I27" s="28"/>
      <x:c r="J27" s="28"/>
      <x:c r="K27" s="28"/>
      <x:c r="L27" s="21"/>
    </x:row>
    <x:row r="28" ht="32" customHeight="1">
      <x:c r="A28" s="20"/>
      <x:c r="B28" s="45"/>
      <x:c r="C28" s="28"/>
      <x:c r="D28" s="28"/>
      <x:c r="E28" s="28"/>
      <x:c r="F28" s="28"/>
      <x:c r="G28" s="28"/>
      <x:c r="H28" s="28"/>
      <x:c r="I28" s="28"/>
      <x:c r="J28" s="28"/>
      <x:c r="K28" s="28"/>
      <x:c r="L28" s="21"/>
    </x:row>
    <x:row r="29" ht="32" customHeight="1">
      <x:c r="A29" s="20"/>
      <x:c r="B29" s="45"/>
      <x:c r="C29" s="28"/>
      <x:c r="D29" s="28"/>
      <x:c r="E29" s="28"/>
      <x:c r="F29" s="28"/>
      <x:c r="G29" s="28"/>
      <x:c r="H29" s="28"/>
      <x:c r="I29" s="28"/>
      <x:c r="J29" s="28"/>
      <x:c r="K29" s="28"/>
      <x:c r="L29" s="21"/>
    </x:row>
    <x:row r="30" ht="32" customHeight="1">
      <x:c r="A30" s="20"/>
      <x:c r="B30" s="45"/>
      <x:c r="C30" s="28"/>
      <x:c r="D30" s="28"/>
      <x:c r="E30" s="28"/>
      <x:c r="F30" s="28"/>
      <x:c r="G30" s="28"/>
      <x:c r="H30" s="28"/>
      <x:c r="I30" s="28"/>
      <x:c r="J30" s="28"/>
      <x:c r="K30" s="28"/>
      <x:c r="L30" s="21"/>
    </x:row>
    <x:row r="31" ht="32" customHeight="1">
      <x:c r="A31" s="20"/>
      <x:c r="B31" s="45"/>
      <x:c r="C31" s="28"/>
      <x:c r="D31" s="28"/>
      <x:c r="E31" s="28"/>
      <x:c r="F31" s="28"/>
      <x:c r="G31" s="28"/>
      <x:c r="H31" s="28"/>
      <x:c r="I31" s="28"/>
      <x:c r="J31" s="28"/>
      <x:c r="K31" s="28"/>
      <x:c r="L31" s="21"/>
    </x:row>
    <x:row r="32" ht="32" customHeight="1">
      <x:c r="A32" s="20"/>
      <x:c r="B32" s="45"/>
      <x:c r="C32" s="28"/>
      <x:c r="D32" s="28"/>
      <x:c r="E32" s="28"/>
      <x:c r="F32" s="28"/>
      <x:c r="G32" s="28"/>
      <x:c r="H32" s="28"/>
      <x:c r="I32" s="28"/>
      <x:c r="J32" s="28"/>
      <x:c r="K32" s="28"/>
      <x:c r="L32" s="21"/>
    </x:row>
    <x:row r="33" ht="32" customHeight="1">
      <x:c r="A33" s="20"/>
      <x:c r="B33" s="45"/>
      <x:c r="C33" s="28"/>
      <x:c r="D33" s="28"/>
      <x:c r="E33" s="28"/>
      <x:c r="F33" s="28"/>
      <x:c r="G33" s="28"/>
      <x:c r="H33" s="28"/>
      <x:c r="I33" s="28"/>
      <x:c r="J33" s="28"/>
      <x:c r="K33" s="28"/>
      <x:c r="L33" s="21"/>
    </x:row>
    <x:row r="34" ht="32" customHeight="1">
      <x:c r="A34" s="20"/>
      <x:c r="B34" s="45"/>
      <x:c r="C34" s="28"/>
      <x:c r="D34" s="28"/>
      <x:c r="E34" s="28"/>
      <x:c r="F34" s="28"/>
      <x:c r="G34" s="28"/>
      <x:c r="H34" s="28"/>
      <x:c r="I34" s="28"/>
      <x:c r="J34" s="28"/>
      <x:c r="K34" s="28"/>
      <x:c r="L34" s="21"/>
    </x:row>
    <x:row r="35" ht="32" customHeight="1">
      <x:c r="A35" s="20"/>
      <x:c r="B35" s="45"/>
      <x:c r="C35" s="28"/>
      <x:c r="D35" s="28"/>
      <x:c r="E35" s="28"/>
      <x:c r="F35" s="28"/>
      <x:c r="G35" s="28"/>
      <x:c r="H35" s="28"/>
      <x:c r="I35" s="28"/>
      <x:c r="J35" s="28"/>
      <x:c r="K35" s="28"/>
      <x:c r="L35" s="21"/>
    </x:row>
    <x:row r="36" ht="32" customHeight="1">
      <x:c r="A36" s="20"/>
      <x:c r="B36" s="45"/>
      <x:c r="C36" s="28"/>
      <x:c r="D36" s="28"/>
      <x:c r="E36" s="28"/>
      <x:c r="F36" s="28"/>
      <x:c r="G36" s="28"/>
      <x:c r="H36" s="28"/>
      <x:c r="I36" s="28"/>
      <x:c r="J36" s="28"/>
      <x:c r="K36" s="28"/>
      <x:c r="L36" s="21"/>
    </x:row>
    <x:row r="37" ht="32" customHeight="1">
      <x:c r="A37" s="20"/>
      <x:c r="B37" s="45"/>
      <x:c r="C37" s="28"/>
      <x:c r="D37" s="28"/>
      <x:c r="E37" s="28"/>
      <x:c r="F37" s="28"/>
      <x:c r="G37" s="28"/>
      <x:c r="H37" s="28"/>
      <x:c r="I37" s="28"/>
      <x:c r="J37" s="28"/>
      <x:c r="K37" s="28"/>
      <x:c r="L37" s="21"/>
    </x:row>
    <x:row r="38" ht="32" customHeight="1">
      <x:c r="A38" s="20"/>
      <x:c r="B38" s="45"/>
      <x:c r="C38" s="28"/>
      <x:c r="D38" s="28"/>
      <x:c r="E38" s="28"/>
      <x:c r="F38" s="28"/>
      <x:c r="G38" s="28"/>
      <x:c r="H38" s="28"/>
      <x:c r="I38" s="28"/>
      <x:c r="J38" s="28"/>
      <x:c r="K38" s="28"/>
      <x:c r="L38" s="21"/>
    </x:row>
    <x:row r="39" ht="32" customHeight="1">
      <x:c r="A39" s="20"/>
      <x:c r="B39" s="45"/>
      <x:c r="C39" s="28"/>
      <x:c r="D39" s="28"/>
      <x:c r="E39" s="28"/>
      <x:c r="F39" s="28"/>
      <x:c r="G39" s="28"/>
      <x:c r="H39" s="28"/>
      <x:c r="I39" s="28"/>
      <x:c r="J39" s="28"/>
      <x:c r="K39" s="28"/>
      <x:c r="L39" s="21"/>
    </x:row>
    <x:row r="40" ht="32" customHeight="1">
      <x:c r="A40" s="20"/>
      <x:c r="B40" s="45"/>
      <x:c r="C40" s="28"/>
      <x:c r="D40" s="28"/>
      <x:c r="E40" s="28"/>
      <x:c r="F40" s="28"/>
      <x:c r="G40" s="28"/>
      <x:c r="H40" s="28"/>
      <x:c r="I40" s="28"/>
      <x:c r="J40" s="28"/>
      <x:c r="K40" s="28"/>
      <x:c r="L40" s="21"/>
    </x:row>
    <x:row r="41" ht="32" customHeight="1">
      <x:c r="A41" s="20"/>
      <x:c r="B41" s="45"/>
      <x:c r="C41" s="28"/>
      <x:c r="D41" s="28"/>
      <x:c r="E41" s="28"/>
      <x:c r="F41" s="28"/>
      <x:c r="G41" s="28"/>
      <x:c r="H41" s="28"/>
      <x:c r="I41" s="28"/>
      <x:c r="J41" s="28"/>
      <x:c r="K41" s="28"/>
      <x:c r="L41" s="21"/>
    </x:row>
    <x:row r="42" ht="32" customHeight="1">
      <x:c r="A42" s="20"/>
      <x:c r="B42" s="45"/>
      <x:c r="C42" s="28"/>
      <x:c r="D42" s="28"/>
      <x:c r="E42" s="28"/>
      <x:c r="F42" s="28"/>
      <x:c r="G42" s="28"/>
      <x:c r="H42" s="28"/>
      <x:c r="I42" s="28"/>
      <x:c r="J42" s="28"/>
      <x:c r="K42" s="28"/>
      <x:c r="L42" s="21"/>
    </x:row>
    <x:row r="43" ht="32" customHeight="1">
      <x:c r="A43" s="20"/>
      <x:c r="B43" s="45"/>
      <x:c r="C43" s="28"/>
      <x:c r="D43" s="28"/>
      <x:c r="E43" s="28"/>
      <x:c r="F43" s="28"/>
      <x:c r="G43" s="28"/>
      <x:c r="H43" s="28"/>
      <x:c r="I43" s="28"/>
      <x:c r="J43" s="28"/>
      <x:c r="K43" s="28"/>
      <x:c r="L43" s="21"/>
    </x:row>
    <x:row r="44" ht="32" customHeight="1">
      <x:c r="A44" s="20"/>
      <x:c r="B44" s="45"/>
      <x:c r="C44" s="28"/>
      <x:c r="D44" s="28"/>
      <x:c r="E44" s="28"/>
      <x:c r="F44" s="28"/>
      <x:c r="G44" s="28"/>
      <x:c r="H44" s="28"/>
      <x:c r="I44" s="28"/>
      <x:c r="J44" s="28"/>
      <x:c r="K44" s="28"/>
      <x:c r="L44" s="21"/>
    </x:row>
    <x:row r="45" ht="32" customHeight="1">
      <x:c r="A45" s="20"/>
      <x:c r="B45" s="45"/>
      <x:c r="C45" s="28"/>
      <x:c r="D45" s="28"/>
      <x:c r="E45" s="28"/>
      <x:c r="F45" s="28"/>
      <x:c r="G45" s="28"/>
      <x:c r="H45" s="28"/>
      <x:c r="I45" s="28"/>
      <x:c r="J45" s="28"/>
      <x:c r="K45" s="28"/>
      <x:c r="L45" s="21"/>
    </x:row>
    <x:row r="46" ht="32" customHeight="1">
      <x:c r="A46" s="20"/>
      <x:c r="B46" s="45"/>
      <x:c r="C46" s="28"/>
      <x:c r="D46" s="28"/>
      <x:c r="E46" s="28"/>
      <x:c r="F46" s="28"/>
      <x:c r="G46" s="28"/>
      <x:c r="H46" s="28"/>
      <x:c r="I46" s="28"/>
      <x:c r="J46" s="28"/>
      <x:c r="K46" s="28"/>
      <x:c r="L46" s="21"/>
    </x:row>
    <x:row r="47" ht="32" customHeight="1">
      <x:c r="A47" s="20"/>
      <x:c r="B47" s="45"/>
      <x:c r="C47" s="28"/>
      <x:c r="D47" s="28"/>
      <x:c r="E47" s="28"/>
      <x:c r="F47" s="28"/>
      <x:c r="G47" s="28"/>
      <x:c r="H47" s="28"/>
      <x:c r="I47" s="28"/>
      <x:c r="J47" s="28"/>
      <x:c r="K47" s="28"/>
      <x:c r="L47" s="21"/>
    </x:row>
    <x:row r="48" ht="32" customHeight="1">
      <x:c r="A48" s="20"/>
      <x:c r="B48" s="45"/>
      <x:c r="C48" s="28"/>
      <x:c r="D48" s="28"/>
      <x:c r="E48" s="28"/>
      <x:c r="F48" s="28"/>
      <x:c r="G48" s="28"/>
      <x:c r="H48" s="28"/>
      <x:c r="I48" s="28"/>
      <x:c r="J48" s="28"/>
      <x:c r="K48" s="28"/>
      <x:c r="L48" s="21"/>
    </x:row>
    <x:row r="49" ht="32" customHeight="1">
      <x:c r="A49" s="20"/>
      <x:c r="B49" s="45"/>
      <x:c r="C49" s="28"/>
      <x:c r="D49" s="28"/>
      <x:c r="E49" s="28"/>
      <x:c r="F49" s="28"/>
      <x:c r="G49" s="28"/>
      <x:c r="H49" s="28"/>
      <x:c r="I49" s="28"/>
      <x:c r="J49" s="28"/>
      <x:c r="K49" s="28"/>
      <x:c r="L49" s="21"/>
    </x:row>
    <x:row r="50" ht="32" customHeight="1">
      <x:c r="A50" s="20"/>
      <x:c r="B50" s="45"/>
      <x:c r="C50" s="28"/>
      <x:c r="D50" s="28"/>
      <x:c r="E50" s="28"/>
      <x:c r="F50" s="28"/>
      <x:c r="G50" s="28"/>
      <x:c r="H50" s="28"/>
      <x:c r="I50" s="28"/>
      <x:c r="J50" s="28"/>
      <x:c r="K50" s="28"/>
      <x:c r="L50" s="21"/>
    </x:row>
    <x:row r="51" ht="32" customHeight="1">
      <x:c r="A51" s="20"/>
      <x:c r="B51" s="45"/>
      <x:c r="C51" s="28"/>
      <x:c r="D51" s="28"/>
      <x:c r="E51" s="28"/>
      <x:c r="F51" s="28"/>
      <x:c r="G51" s="28"/>
      <x:c r="H51" s="28"/>
      <x:c r="I51" s="28"/>
      <x:c r="J51" s="28"/>
      <x:c r="K51" s="28"/>
      <x:c r="L51" s="21"/>
    </x:row>
    <x:row r="52" ht="32" customHeight="1">
      <x:c r="A52" s="20"/>
      <x:c r="B52" s="45"/>
      <x:c r="C52" s="28"/>
      <x:c r="D52" s="28"/>
      <x:c r="E52" s="28"/>
      <x:c r="F52" s="28"/>
      <x:c r="G52" s="28"/>
      <x:c r="H52" s="28"/>
      <x:c r="I52" s="28"/>
      <x:c r="J52" s="28"/>
      <x:c r="K52" s="28"/>
      <x:c r="L52" s="21"/>
    </x:row>
    <x:row r="53" ht="32" customHeight="1">
      <x:c r="A53" s="22"/>
      <x:c r="B53" s="46"/>
      <x:c r="C53" s="29"/>
      <x:c r="D53" s="29"/>
      <x:c r="E53" s="29"/>
      <x:c r="F53" s="29"/>
      <x:c r="G53" s="29"/>
      <x:c r="H53" s="29"/>
      <x:c r="I53" s="29"/>
      <x:c r="J53" s="29"/>
      <x:c r="K53" s="29"/>
      <x:c r="L53" s="23"/>
    </x:row>
  </x:sheetData>
  <x:mergeCells>
    <x:mergeCell ref="A1:L1"/>
  </x:mergeCells>
  <x:dataValidations count="2">
    <x:dataValidation type="list" sqref="E4:E53">
      <x:formula1>"E1,E2,E3,E4"</x:formula1>
    </x:dataValidation>
    <x:dataValidation type="list" sqref="K4:K53">
      <x:formula1>"是,否,不適用"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2" hidden="0" customWidth="1"/>
    <x:col min="3" max="3" width="14" hidden="0" customWidth="1"/>
    <x:col min="4" max="4" width="24" hidden="0" customWidth="1"/>
    <x:col min="5" max="5" width="11" hidden="0" customWidth="1"/>
    <x:col min="6" max="6" width="11" hidden="0" customWidth="1"/>
    <x:col min="7" max="7" width="11" hidden="0" customWidth="1"/>
    <x:col min="8" max="8" width="12" hidden="0" customWidth="1"/>
    <x:col min="9" max="9" width="11" hidden="0" customWidth="1"/>
    <x:col min="10" max="10" width="12" hidden="0" customWidth="1"/>
    <x:col min="11" max="11" width="10" hidden="0" customWidth="1"/>
    <x:col min="12" max="12" width="14" hidden="0" customWidth="1"/>
    <x:col min="13" max="13" width="34" hidden="0" customWidth="1"/>
  </x:cols>
  <x:sheetData>
    <x:row r="1" ht="34" customHeight="1">
      <x:c r="A1" s="3" t="str">
        <x:v>成長型專案組合與優先排序</x:v>
      </x:c>
      <x:c r="B1" s="3" t="str">
        <x:v>成長型專案組合與優先排序</x:v>
      </x:c>
      <x:c r="C1" s="3" t="str">
        <x:v>成長型專案組合與優先排序</x:v>
      </x:c>
      <x:c r="D1" s="3" t="str">
        <x:v>成長型專案組合與優先排序</x:v>
      </x:c>
      <x:c r="E1" s="3" t="str">
        <x:v>成長型專案組合與優先排序</x:v>
      </x:c>
      <x:c r="F1" s="3" t="str">
        <x:v>成長型專案組合與優先排序</x:v>
      </x:c>
      <x:c r="G1" s="3" t="str">
        <x:v>成長型專案組合與優先排序</x:v>
      </x:c>
      <x:c r="H1" s="3" t="str">
        <x:v>成長型專案組合與優先排序</x:v>
      </x:c>
      <x:c r="I1" s="3" t="str">
        <x:v>成長型專案組合與優先排序</x:v>
      </x:c>
      <x:c r="J1" s="3" t="str">
        <x:v>成長型專案組合與優先排序</x:v>
      </x:c>
      <x:c r="K1" s="3" t="str">
        <x:v>成長型專案組合與優先排序</x:v>
      </x:c>
      <x:c r="L1" s="3" t="str">
        <x:v>成長型專案組合與優先排序</x:v>
      </x:c>
      <x:c r="M1" s="3" t="str">
        <x:v>成長型專案組合與優先排序</x:v>
      </x:c>
    </x:row>
    <x:row r="3" ht="28" customHeight="1">
      <x:c r="A3" s="11" t="str">
        <x:v>專案ID</x:v>
      </x:c>
      <x:c r="B3" s="11" t="str">
        <x:v>專案名稱</x:v>
      </x:c>
      <x:c r="C3" s="11" t="str">
        <x:v>類型</x:v>
      </x:c>
      <x:c r="D3" s="11" t="str">
        <x:v>關聯能力</x:v>
      </x:c>
      <x:c r="E3" s="11" t="str">
        <x:v>工作頻率</x:v>
      </x:c>
      <x:c r="F3" s="11" t="str">
        <x:v>工作價值</x:v>
      </x:c>
      <x:c r="G3" s="11" t="str">
        <x:v>未來定位</x:v>
      </x:c>
      <x:c r="H3" s="11" t="str">
        <x:v>可形成證據</x:v>
      </x:c>
      <x:c r="I3" s="11" t="str">
        <x:v>可重用</x:v>
      </x:c>
      <x:c r="J3" s="11" t="str">
        <x:v>8週可完成</x:v>
      </x:c>
      <x:c r="K3" s="11" t="str">
        <x:v>總分</x:v>
      </x:c>
      <x:c r="L3" s="11" t="str">
        <x:v>狀態</x:v>
      </x:c>
      <x:c r="M3" s="11" t="str">
        <x:v>下一步</x:v>
      </x:c>
    </x:row>
    <x:row r="4" ht="28" customHeight="1">
      <x:c r="A4" s="18"/>
      <x:c r="B4" s="27"/>
      <x:c r="C4" s="27"/>
      <x:c r="D4" s="27"/>
      <x:c r="E4" s="27"/>
      <x:c r="F4" s="27"/>
      <x:c r="G4" s="27"/>
      <x:c r="H4" s="27"/>
      <x:c r="I4" s="27"/>
      <x:c r="J4" s="27"/>
      <x:c r="K4" s="27" t="str">
        <x:f>IF(COUNTA(E4:J4)=0,"",SUM(E4:J4))</x:f>
      </x:c>
      <x:c r="L4" s="27"/>
      <x:c r="M4" s="19"/>
    </x:row>
    <x:row r="5" ht="28" customHeight="1">
      <x:c r="A5" s="20"/>
      <x:c r="B5" s="28"/>
      <x:c r="C5" s="28"/>
      <x:c r="D5" s="28"/>
      <x:c r="E5" s="28"/>
      <x:c r="F5" s="28"/>
      <x:c r="G5" s="28"/>
      <x:c r="H5" s="28"/>
      <x:c r="I5" s="28"/>
      <x:c r="J5" s="28"/>
      <x:c r="K5" s="28" t="str">
        <x:f>IF(COUNTA(E5:J5)=0,"",SUM(E5:J5))</x:f>
      </x:c>
      <x:c r="L5" s="28"/>
      <x:c r="M5" s="21"/>
    </x:row>
    <x:row r="6" ht="28" customHeight="1">
      <x:c r="A6" s="20"/>
      <x:c r="B6" s="28"/>
      <x:c r="C6" s="28"/>
      <x:c r="D6" s="28"/>
      <x:c r="E6" s="28"/>
      <x:c r="F6" s="28"/>
      <x:c r="G6" s="28"/>
      <x:c r="H6" s="28"/>
      <x:c r="I6" s="28"/>
      <x:c r="J6" s="28"/>
      <x:c r="K6" s="28" t="str">
        <x:f>IF(COUNTA(E6:J6)=0,"",SUM(E6:J6))</x:f>
      </x:c>
      <x:c r="L6" s="28"/>
      <x:c r="M6" s="21"/>
    </x:row>
    <x:row r="7" ht="28" customHeight="1">
      <x:c r="A7" s="20"/>
      <x:c r="B7" s="28"/>
      <x:c r="C7" s="28"/>
      <x:c r="D7" s="28"/>
      <x:c r="E7" s="28"/>
      <x:c r="F7" s="28"/>
      <x:c r="G7" s="28"/>
      <x:c r="H7" s="28"/>
      <x:c r="I7" s="28"/>
      <x:c r="J7" s="28"/>
      <x:c r="K7" s="28" t="str">
        <x:f>IF(COUNTA(E7:J7)=0,"",SUM(E7:J7))</x:f>
      </x:c>
      <x:c r="L7" s="28"/>
      <x:c r="M7" s="21"/>
    </x:row>
    <x:row r="8" ht="28" customHeight="1">
      <x:c r="A8" s="20"/>
      <x:c r="B8" s="28"/>
      <x:c r="C8" s="28"/>
      <x:c r="D8" s="28"/>
      <x:c r="E8" s="28"/>
      <x:c r="F8" s="28"/>
      <x:c r="G8" s="28"/>
      <x:c r="H8" s="28"/>
      <x:c r="I8" s="28"/>
      <x:c r="J8" s="28"/>
      <x:c r="K8" s="28" t="str">
        <x:f>IF(COUNTA(E8:J8)=0,"",SUM(E8:J8))</x:f>
      </x:c>
      <x:c r="L8" s="28"/>
      <x:c r="M8" s="21"/>
    </x:row>
    <x:row r="9" ht="28" customHeight="1">
      <x:c r="A9" s="20"/>
      <x:c r="B9" s="28"/>
      <x:c r="C9" s="28"/>
      <x:c r="D9" s="28"/>
      <x:c r="E9" s="28"/>
      <x:c r="F9" s="28"/>
      <x:c r="G9" s="28"/>
      <x:c r="H9" s="28"/>
      <x:c r="I9" s="28"/>
      <x:c r="J9" s="28"/>
      <x:c r="K9" s="28" t="str">
        <x:f>IF(COUNTA(E9:J9)=0,"",SUM(E9:J9))</x:f>
      </x:c>
      <x:c r="L9" s="28"/>
      <x:c r="M9" s="21"/>
    </x:row>
    <x:row r="10" ht="28" customHeight="1">
      <x:c r="A10" s="20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 t="str">
        <x:f>IF(COUNTA(E10:J10)=0,"",SUM(E10:J10))</x:f>
      </x:c>
      <x:c r="L10" s="28"/>
      <x:c r="M10" s="21"/>
    </x:row>
    <x:row r="11" ht="28" customHeight="1">
      <x:c r="A11" s="20"/>
      <x:c r="B11" s="28"/>
      <x:c r="C11" s="28"/>
      <x:c r="D11" s="28"/>
      <x:c r="E11" s="28"/>
      <x:c r="F11" s="28"/>
      <x:c r="G11" s="28"/>
      <x:c r="H11" s="28"/>
      <x:c r="I11" s="28"/>
      <x:c r="J11" s="28"/>
      <x:c r="K11" s="28" t="str">
        <x:f>IF(COUNTA(E11:J11)=0,"",SUM(E11:J11))</x:f>
      </x:c>
      <x:c r="L11" s="28"/>
      <x:c r="M11" s="21"/>
    </x:row>
    <x:row r="12" ht="28" customHeight="1">
      <x:c r="A12" s="20"/>
      <x:c r="B12" s="28"/>
      <x:c r="C12" s="28"/>
      <x:c r="D12" s="28"/>
      <x:c r="E12" s="28"/>
      <x:c r="F12" s="28"/>
      <x:c r="G12" s="28"/>
      <x:c r="H12" s="28"/>
      <x:c r="I12" s="28"/>
      <x:c r="J12" s="28"/>
      <x:c r="K12" s="28" t="str">
        <x:f>IF(COUNTA(E12:J12)=0,"",SUM(E12:J12))</x:f>
      </x:c>
      <x:c r="L12" s="28"/>
      <x:c r="M12" s="21"/>
    </x:row>
    <x:row r="13" ht="28" customHeight="1">
      <x:c r="A13" s="20"/>
      <x:c r="B13" s="28"/>
      <x:c r="C13" s="28"/>
      <x:c r="D13" s="28"/>
      <x:c r="E13" s="28"/>
      <x:c r="F13" s="28"/>
      <x:c r="G13" s="28"/>
      <x:c r="H13" s="28"/>
      <x:c r="I13" s="28"/>
      <x:c r="J13" s="28"/>
      <x:c r="K13" s="28" t="str">
        <x:f>IF(COUNTA(E13:J13)=0,"",SUM(E13:J13))</x:f>
      </x:c>
      <x:c r="L13" s="28"/>
      <x:c r="M13" s="21"/>
    </x:row>
    <x:row r="14" ht="28" customHeight="1">
      <x:c r="A14" s="20"/>
      <x:c r="B14" s="28"/>
      <x:c r="C14" s="28"/>
      <x:c r="D14" s="28"/>
      <x:c r="E14" s="28"/>
      <x:c r="F14" s="28"/>
      <x:c r="G14" s="28"/>
      <x:c r="H14" s="28"/>
      <x:c r="I14" s="28"/>
      <x:c r="J14" s="28"/>
      <x:c r="K14" s="28" t="str">
        <x:f>IF(COUNTA(E14:J14)=0,"",SUM(E14:J14))</x:f>
      </x:c>
      <x:c r="L14" s="28"/>
      <x:c r="M14" s="21"/>
    </x:row>
    <x:row r="15" ht="28" customHeight="1">
      <x:c r="A15" s="20"/>
      <x:c r="B15" s="28"/>
      <x:c r="C15" s="28"/>
      <x:c r="D15" s="28"/>
      <x:c r="E15" s="28"/>
      <x:c r="F15" s="28"/>
      <x:c r="G15" s="28"/>
      <x:c r="H15" s="28"/>
      <x:c r="I15" s="28"/>
      <x:c r="J15" s="28"/>
      <x:c r="K15" s="28" t="str">
        <x:f>IF(COUNTA(E15:J15)=0,"",SUM(E15:J15))</x:f>
      </x:c>
      <x:c r="L15" s="28"/>
      <x:c r="M15" s="21"/>
    </x:row>
    <x:row r="16" ht="28" customHeight="1">
      <x:c r="A16" s="20"/>
      <x:c r="B16" s="28"/>
      <x:c r="C16" s="28"/>
      <x:c r="D16" s="28"/>
      <x:c r="E16" s="28"/>
      <x:c r="F16" s="28"/>
      <x:c r="G16" s="28"/>
      <x:c r="H16" s="28"/>
      <x:c r="I16" s="28"/>
      <x:c r="J16" s="28"/>
      <x:c r="K16" s="28" t="str">
        <x:f>IF(COUNTA(E16:J16)=0,"",SUM(E16:J16))</x:f>
      </x:c>
      <x:c r="L16" s="28"/>
      <x:c r="M16" s="21"/>
    </x:row>
    <x:row r="17" ht="28" customHeight="1">
      <x:c r="A17" s="20"/>
      <x:c r="B17" s="28"/>
      <x:c r="C17" s="28"/>
      <x:c r="D17" s="28"/>
      <x:c r="E17" s="28"/>
      <x:c r="F17" s="28"/>
      <x:c r="G17" s="28"/>
      <x:c r="H17" s="28"/>
      <x:c r="I17" s="28"/>
      <x:c r="J17" s="28"/>
      <x:c r="K17" s="28" t="str">
        <x:f>IF(COUNTA(E17:J17)=0,"",SUM(E17:J17))</x:f>
      </x:c>
      <x:c r="L17" s="28"/>
      <x:c r="M17" s="21"/>
    </x:row>
    <x:row r="18" ht="28" customHeight="1">
      <x:c r="A18" s="20"/>
      <x:c r="B18" s="28"/>
      <x:c r="C18" s="28"/>
      <x:c r="D18" s="28"/>
      <x:c r="E18" s="28"/>
      <x:c r="F18" s="28"/>
      <x:c r="G18" s="28"/>
      <x:c r="H18" s="28"/>
      <x:c r="I18" s="28"/>
      <x:c r="J18" s="28"/>
      <x:c r="K18" s="28" t="str">
        <x:f>IF(COUNTA(E18:J18)=0,"",SUM(E18:J18))</x:f>
      </x:c>
      <x:c r="L18" s="28"/>
      <x:c r="M18" s="21"/>
    </x:row>
    <x:row r="19" ht="28" customHeight="1">
      <x:c r="A19" s="20"/>
      <x:c r="B19" s="28"/>
      <x:c r="C19" s="28"/>
      <x:c r="D19" s="28"/>
      <x:c r="E19" s="28"/>
      <x:c r="F19" s="28"/>
      <x:c r="G19" s="28"/>
      <x:c r="H19" s="28"/>
      <x:c r="I19" s="28"/>
      <x:c r="J19" s="28"/>
      <x:c r="K19" s="28" t="str">
        <x:f>IF(COUNTA(E19:J19)=0,"",SUM(E19:J19))</x:f>
      </x:c>
      <x:c r="L19" s="28"/>
      <x:c r="M19" s="21"/>
    </x:row>
    <x:row r="20" ht="28" customHeight="1">
      <x:c r="A20" s="20"/>
      <x:c r="B20" s="28"/>
      <x:c r="C20" s="28"/>
      <x:c r="D20" s="28"/>
      <x:c r="E20" s="28"/>
      <x:c r="F20" s="28"/>
      <x:c r="G20" s="28"/>
      <x:c r="H20" s="28"/>
      <x:c r="I20" s="28"/>
      <x:c r="J20" s="28"/>
      <x:c r="K20" s="28" t="str">
        <x:f>IF(COUNTA(E20:J20)=0,"",SUM(E20:J20))</x:f>
      </x:c>
      <x:c r="L20" s="28"/>
      <x:c r="M20" s="21"/>
    </x:row>
    <x:row r="21" ht="28" customHeight="1">
      <x:c r="A21" s="20"/>
      <x:c r="B21" s="28"/>
      <x:c r="C21" s="28"/>
      <x:c r="D21" s="28"/>
      <x:c r="E21" s="28"/>
      <x:c r="F21" s="28"/>
      <x:c r="G21" s="28"/>
      <x:c r="H21" s="28"/>
      <x:c r="I21" s="28"/>
      <x:c r="J21" s="28"/>
      <x:c r="K21" s="28" t="str">
        <x:f>IF(COUNTA(E21:J21)=0,"",SUM(E21:J21))</x:f>
      </x:c>
      <x:c r="L21" s="28"/>
      <x:c r="M21" s="21"/>
    </x:row>
    <x:row r="22" ht="28" customHeight="1">
      <x:c r="A22" s="20"/>
      <x:c r="B22" s="28"/>
      <x:c r="C22" s="28"/>
      <x:c r="D22" s="28"/>
      <x:c r="E22" s="28"/>
      <x:c r="F22" s="28"/>
      <x:c r="G22" s="28"/>
      <x:c r="H22" s="28"/>
      <x:c r="I22" s="28"/>
      <x:c r="J22" s="28"/>
      <x:c r="K22" s="28" t="str">
        <x:f>IF(COUNTA(E22:J22)=0,"",SUM(E22:J22))</x:f>
      </x:c>
      <x:c r="L22" s="28"/>
      <x:c r="M22" s="21"/>
    </x:row>
    <x:row r="23" ht="28" customHeight="1">
      <x:c r="A23" s="22"/>
      <x:c r="B23" s="29"/>
      <x:c r="C23" s="29"/>
      <x:c r="D23" s="29"/>
      <x:c r="E23" s="29"/>
      <x:c r="F23" s="29"/>
      <x:c r="G23" s="29"/>
      <x:c r="H23" s="29"/>
      <x:c r="I23" s="29"/>
      <x:c r="J23" s="29"/>
      <x:c r="K23" s="29" t="str">
        <x:f>IF(COUNTA(E23:J23)=0,"",SUM(E23:J23))</x:f>
      </x:c>
      <x:c r="L23" s="29"/>
      <x:c r="M23" s="23"/>
    </x:row>
  </x:sheetData>
  <x:mergeCells>
    <x:mergeCell ref="A1:M1"/>
  </x:mergeCells>
  <x:dataValidations count="3">
    <x:dataValidation type="list" sqref="C4:C23">
      <x:formula1>"效率型,能力型,資產型,複合型"</x:formula1>
    </x:dataValidation>
    <x:dataValidation type="whole" operator="between" sqref="E4:J23">
      <x:formula1>1</x:formula1>
      <x:formula2>5</x:formula2>
    </x:dataValidation>
    <x:dataValidation type="list" sqref="L4:L23">
      <x:formula1>"候選,評估中,本季執行,暫停,完成"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32" hidden="0" customWidth="1"/>
    <x:col min="4" max="4" width="24" hidden="0" customWidth="1"/>
    <x:col min="5" max="5" width="24" hidden="0" customWidth="1"/>
    <x:col min="6" max="6" width="22" hidden="0" customWidth="1"/>
    <x:col min="7" max="7" width="26" hidden="0" customWidth="1"/>
    <x:col min="8" max="8" width="13" hidden="0" customWidth="1"/>
    <x:col min="9" max="9" width="26" hidden="0" customWidth="1"/>
    <x:col min="10" max="10" width="12" hidden="0" customWidth="1"/>
  </x:cols>
  <x:sheetData>
    <x:row r="1" ht="34" customHeight="1">
      <x:c r="A1" s="3" t="str">
        <x:v>12週成長循環</x:v>
      </x:c>
      <x:c r="B1" s="3" t="str">
        <x:v>12週成長循環</x:v>
      </x:c>
      <x:c r="C1" s="3" t="str">
        <x:v>12週成長循環</x:v>
      </x:c>
      <x:c r="D1" s="3" t="str">
        <x:v>12週成長循環</x:v>
      </x:c>
      <x:c r="E1" s="3" t="str">
        <x:v>12週成長循環</x:v>
      </x:c>
      <x:c r="F1" s="3" t="str">
        <x:v>12週成長循環</x:v>
      </x:c>
      <x:c r="G1" s="3" t="str">
        <x:v>12週成長循環</x:v>
      </x:c>
      <x:c r="H1" s="3" t="str">
        <x:v>12週成長循環</x:v>
      </x:c>
      <x:c r="I1" s="3" t="str">
        <x:v>12週成長循環</x:v>
      </x:c>
      <x:c r="J1" s="3" t="str">
        <x:v>12週成長循環</x:v>
      </x:c>
    </x:row>
    <x:row r="3" ht="28" customHeight="1">
      <x:c r="A3" s="11" t="str">
        <x:v>欄位</x:v>
      </x:c>
      <x:c r="B3" s="11" t="str">
        <x:v>內容</x:v>
      </x:c>
    </x:row>
    <x:row r="4">
      <x:c r="A4" s="18" t="str">
        <x:v>循環期間</x:v>
      </x:c>
      <x:c r="B4" s="47" t="str">
        <x:v>待填寫</x:v>
      </x:c>
      <x:c r="D4" s="58" t="str">
        <x:v>規則：12週只設定1項核心能力、1個實戰專案及1項資產成果。沒有實戰情境的學習不得成為核心項目。</x:v>
      </x:c>
      <x:c r="E4" s="58"/>
      <x:c r="F4" s="58"/>
      <x:c r="G4" s="58"/>
      <x:c r="H4" s="58"/>
      <x:c r="I4" s="58"/>
      <x:c r="J4" s="58"/>
    </x:row>
    <x:row r="5">
      <x:c r="A5" s="20" t="str">
        <x:v>核心成果</x:v>
      </x:c>
      <x:c r="B5" s="48" t="str">
        <x:v>待填寫</x:v>
      </x:c>
    </x:row>
    <x:row r="6">
      <x:c r="A6" s="20" t="str">
        <x:v>核心能力</x:v>
      </x:c>
      <x:c r="B6" s="48" t="str">
        <x:v>待填寫</x:v>
      </x:c>
    </x:row>
    <x:row r="7">
      <x:c r="A7" s="20" t="str">
        <x:v>支援能力1</x:v>
      </x:c>
      <x:c r="B7" s="48" t="str">
        <x:v>待填寫</x:v>
      </x:c>
    </x:row>
    <x:row r="8">
      <x:c r="A8" s="20" t="str">
        <x:v>支援能力2</x:v>
      </x:c>
      <x:c r="B8" s="48" t="str">
        <x:v>待填寫</x:v>
      </x:c>
    </x:row>
    <x:row r="9">
      <x:c r="A9" s="20" t="str">
        <x:v>實戰專案</x:v>
      </x:c>
      <x:c r="B9" s="48" t="str">
        <x:v>待填寫</x:v>
      </x:c>
    </x:row>
    <x:row r="10">
      <x:c r="A10" s="20" t="str">
        <x:v>可重用資產</x:v>
      </x:c>
      <x:c r="B10" s="48" t="str">
        <x:v>待填寫</x:v>
      </x:c>
    </x:row>
    <x:row r="11">
      <x:c r="A11" s="22" t="str">
        <x:v>成功標準</x:v>
      </x:c>
      <x:c r="B11" s="49" t="str">
        <x:v>待填寫</x:v>
      </x:c>
    </x:row>
    <x:row r="14" ht="28" customHeight="1">
      <x:c r="A14" s="11" t="str">
        <x:v>週次</x:v>
      </x:c>
      <x:c r="B14" s="11" t="str">
        <x:v>週成果</x:v>
      </x:c>
      <x:c r="C14" s="11" t="str">
        <x:v>關鍵行動</x:v>
      </x:c>
      <x:c r="D14" s="11" t="str">
        <x:v>實戰情境</x:v>
      </x:c>
      <x:c r="E14" s="11" t="str">
        <x:v>所需學習</x:v>
      </x:c>
      <x:c r="F14" s="11" t="str">
        <x:v>回饋來源</x:v>
      </x:c>
      <x:c r="G14" s="11" t="str">
        <x:v>證據／資產</x:v>
      </x:c>
      <x:c r="H14" s="11" t="str">
        <x:v>狀態</x:v>
      </x:c>
      <x:c r="I14" s="11" t="str">
        <x:v>風險／阻礙</x:v>
      </x:c>
      <x:c r="J14" s="11" t="str">
        <x:v>完成率</x:v>
      </x:c>
    </x:row>
    <x:row r="15">
      <x:c r="A15" s="18" t="n">
        <x:v>1</x:v>
      </x:c>
      <x:c r="B15" s="27" t="str"/>
      <x:c r="C15" s="27" t="str"/>
      <x:c r="D15" s="27" t="str"/>
      <x:c r="E15" s="27" t="str"/>
      <x:c r="F15" s="27" t="str"/>
      <x:c r="G15" s="27" t="str"/>
      <x:c r="H15" s="27" t="str">
        <x:v>未開始</x:v>
      </x:c>
      <x:c r="I15" s="27" t="str"/>
      <x:c r="J15" s="54" t="n">
        <x:v>0</x:v>
      </x:c>
    </x:row>
    <x:row r="16">
      <x:c r="A16" s="20" t="n">
        <x:v>2</x:v>
      </x:c>
      <x:c r="B16" s="28" t="str"/>
      <x:c r="C16" s="28" t="str"/>
      <x:c r="D16" s="28" t="str"/>
      <x:c r="E16" s="28" t="str"/>
      <x:c r="F16" s="28" t="str"/>
      <x:c r="G16" s="28" t="str"/>
      <x:c r="H16" s="28" t="str">
        <x:v>未開始</x:v>
      </x:c>
      <x:c r="I16" s="28" t="str"/>
      <x:c r="J16" s="55" t="n">
        <x:v>0</x:v>
      </x:c>
    </x:row>
    <x:row r="17">
      <x:c r="A17" s="20" t="n">
        <x:v>3</x:v>
      </x:c>
      <x:c r="B17" s="28" t="str"/>
      <x:c r="C17" s="28" t="str"/>
      <x:c r="D17" s="28" t="str"/>
      <x:c r="E17" s="28" t="str"/>
      <x:c r="F17" s="28" t="str"/>
      <x:c r="G17" s="28" t="str"/>
      <x:c r="H17" s="28" t="str">
        <x:v>未開始</x:v>
      </x:c>
      <x:c r="I17" s="28" t="str"/>
      <x:c r="J17" s="55" t="n">
        <x:v>0</x:v>
      </x:c>
    </x:row>
    <x:row r="18">
      <x:c r="A18" s="20" t="n">
        <x:v>4</x:v>
      </x:c>
      <x:c r="B18" s="28" t="str"/>
      <x:c r="C18" s="28" t="str"/>
      <x:c r="D18" s="28" t="str"/>
      <x:c r="E18" s="28" t="str"/>
      <x:c r="F18" s="28" t="str"/>
      <x:c r="G18" s="28" t="str"/>
      <x:c r="H18" s="28" t="str">
        <x:v>未開始</x:v>
      </x:c>
      <x:c r="I18" s="28" t="str"/>
      <x:c r="J18" s="55" t="n">
        <x:v>0</x:v>
      </x:c>
    </x:row>
    <x:row r="19">
      <x:c r="A19" s="20" t="n">
        <x:v>5</x:v>
      </x:c>
      <x:c r="B19" s="28" t="str"/>
      <x:c r="C19" s="28" t="str"/>
      <x:c r="D19" s="28" t="str"/>
      <x:c r="E19" s="28" t="str"/>
      <x:c r="F19" s="28" t="str"/>
      <x:c r="G19" s="28" t="str"/>
      <x:c r="H19" s="28" t="str">
        <x:v>未開始</x:v>
      </x:c>
      <x:c r="I19" s="28" t="str"/>
      <x:c r="J19" s="55" t="n">
        <x:v>0</x:v>
      </x:c>
    </x:row>
    <x:row r="20">
      <x:c r="A20" s="20" t="n">
        <x:v>6</x:v>
      </x:c>
      <x:c r="B20" s="28" t="str"/>
      <x:c r="C20" s="28" t="str"/>
      <x:c r="D20" s="28" t="str"/>
      <x:c r="E20" s="28" t="str"/>
      <x:c r="F20" s="28" t="str"/>
      <x:c r="G20" s="28" t="str"/>
      <x:c r="H20" s="28" t="str">
        <x:v>未開始</x:v>
      </x:c>
      <x:c r="I20" s="28" t="str"/>
      <x:c r="J20" s="55" t="n">
        <x:v>0</x:v>
      </x:c>
    </x:row>
    <x:row r="21">
      <x:c r="A21" s="20" t="n">
        <x:v>7</x:v>
      </x:c>
      <x:c r="B21" s="28" t="str"/>
      <x:c r="C21" s="28" t="str"/>
      <x:c r="D21" s="28" t="str"/>
      <x:c r="E21" s="28" t="str"/>
      <x:c r="F21" s="28" t="str"/>
      <x:c r="G21" s="28" t="str"/>
      <x:c r="H21" s="28" t="str">
        <x:v>未開始</x:v>
      </x:c>
      <x:c r="I21" s="28" t="str"/>
      <x:c r="J21" s="55" t="n">
        <x:v>0</x:v>
      </x:c>
    </x:row>
    <x:row r="22">
      <x:c r="A22" s="20" t="n">
        <x:v>8</x:v>
      </x:c>
      <x:c r="B22" s="28" t="str"/>
      <x:c r="C22" s="28" t="str"/>
      <x:c r="D22" s="28" t="str"/>
      <x:c r="E22" s="28" t="str"/>
      <x:c r="F22" s="28" t="str"/>
      <x:c r="G22" s="28" t="str"/>
      <x:c r="H22" s="28" t="str">
        <x:v>未開始</x:v>
      </x:c>
      <x:c r="I22" s="28" t="str"/>
      <x:c r="J22" s="55" t="n">
        <x:v>0</x:v>
      </x:c>
    </x:row>
    <x:row r="23">
      <x:c r="A23" s="20" t="n">
        <x:v>9</x:v>
      </x:c>
      <x:c r="B23" s="28" t="str"/>
      <x:c r="C23" s="28" t="str"/>
      <x:c r="D23" s="28" t="str"/>
      <x:c r="E23" s="28" t="str"/>
      <x:c r="F23" s="28" t="str"/>
      <x:c r="G23" s="28" t="str"/>
      <x:c r="H23" s="28" t="str">
        <x:v>未開始</x:v>
      </x:c>
      <x:c r="I23" s="28" t="str"/>
      <x:c r="J23" s="55" t="n">
        <x:v>0</x:v>
      </x:c>
    </x:row>
    <x:row r="24">
      <x:c r="A24" s="20" t="n">
        <x:v>10</x:v>
      </x:c>
      <x:c r="B24" s="28" t="str"/>
      <x:c r="C24" s="28" t="str"/>
      <x:c r="D24" s="28" t="str"/>
      <x:c r="E24" s="28" t="str"/>
      <x:c r="F24" s="28" t="str"/>
      <x:c r="G24" s="28" t="str"/>
      <x:c r="H24" s="28" t="str">
        <x:v>未開始</x:v>
      </x:c>
      <x:c r="I24" s="28" t="str"/>
      <x:c r="J24" s="55" t="n">
        <x:v>0</x:v>
      </x:c>
    </x:row>
    <x:row r="25">
      <x:c r="A25" s="20" t="n">
        <x:v>11</x:v>
      </x:c>
      <x:c r="B25" s="28" t="str"/>
      <x:c r="C25" s="28" t="str"/>
      <x:c r="D25" s="28" t="str"/>
      <x:c r="E25" s="28" t="str"/>
      <x:c r="F25" s="28" t="str"/>
      <x:c r="G25" s="28" t="str"/>
      <x:c r="H25" s="28" t="str">
        <x:v>未開始</x:v>
      </x:c>
      <x:c r="I25" s="28" t="str"/>
      <x:c r="J25" s="55" t="n">
        <x:v>0</x:v>
      </x:c>
    </x:row>
    <x:row r="26">
      <x:c r="A26" s="22" t="n">
        <x:v>12</x:v>
      </x:c>
      <x:c r="B26" s="29" t="str"/>
      <x:c r="C26" s="29" t="str"/>
      <x:c r="D26" s="29" t="str"/>
      <x:c r="E26" s="29" t="str"/>
      <x:c r="F26" s="29" t="str"/>
      <x:c r="G26" s="29" t="str"/>
      <x:c r="H26" s="29" t="str">
        <x:v>未開始</x:v>
      </x:c>
      <x:c r="I26" s="29" t="str"/>
      <x:c r="J26" s="56" t="n">
        <x:v>0</x:v>
      </x:c>
    </x:row>
  </x:sheetData>
  <x:mergeCells>
    <x:mergeCell ref="A1:J1"/>
    <x:mergeCell ref="D4:J4"/>
  </x:mergeCells>
  <x:dataValidations count="2">
    <x:dataValidation type="list" sqref="H15:H26">
      <x:formula1>"未開始,進行中,完成,延後,取消"</x:formula1>
    </x:dataValidation>
    <x:dataValidation type="decimal" operator="between" sqref="J15:J26">
      <x:formula1>0</x:formula1>
      <x:formula2>1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6" hidden="0" customWidth="1"/>
    <x:col min="3" max="3" width="12" hidden="0" customWidth="1"/>
    <x:col min="4" max="4" width="12" hidden="0" customWidth="1"/>
    <x:col min="5" max="5" width="12" hidden="0" customWidth="1"/>
    <x:col min="6" max="6" width="13" hidden="0" customWidth="1"/>
    <x:col min="7" max="7" width="11" hidden="0" customWidth="1"/>
    <x:col min="8" max="8" width="12" hidden="0" customWidth="1"/>
    <x:col min="9" max="9" width="12" hidden="0" customWidth="1"/>
    <x:col min="10" max="10" width="11" hidden="0" customWidth="1"/>
    <x:col min="11" max="11" width="11" hidden="0" customWidth="1"/>
    <x:col min="12" max="12" width="30" hidden="0" customWidth="1"/>
    <x:col min="13" max="13" width="30" hidden="0" customWidth="1"/>
  </x:cols>
  <x:sheetData>
    <x:row r="1" ht="34" customHeight="1">
      <x:c r="A1" s="3" t="str">
        <x:v>每週執行與狀態追蹤</x:v>
      </x:c>
      <x:c r="B1" s="3" t="str">
        <x:v>每週執行與狀態追蹤</x:v>
      </x:c>
      <x:c r="C1" s="3" t="str">
        <x:v>每週執行與狀態追蹤</x:v>
      </x:c>
      <x:c r="D1" s="3" t="str">
        <x:v>每週執行與狀態追蹤</x:v>
      </x:c>
      <x:c r="E1" s="3" t="str">
        <x:v>每週執行與狀態追蹤</x:v>
      </x:c>
      <x:c r="F1" s="3" t="str">
        <x:v>每週執行與狀態追蹤</x:v>
      </x:c>
      <x:c r="G1" s="3" t="str">
        <x:v>每週執行與狀態追蹤</x:v>
      </x:c>
      <x:c r="H1" s="3" t="str">
        <x:v>每週執行與狀態追蹤</x:v>
      </x:c>
      <x:c r="I1" s="3" t="str">
        <x:v>每週執行與狀態追蹤</x:v>
      </x:c>
      <x:c r="J1" s="3" t="str">
        <x:v>每週執行與狀態追蹤</x:v>
      </x:c>
      <x:c r="K1" s="3" t="str">
        <x:v>每週執行與狀態追蹤</x:v>
      </x:c>
      <x:c r="L1" s="3" t="str">
        <x:v>每週執行與狀態追蹤</x:v>
      </x:c>
      <x:c r="M1" s="3" t="str">
        <x:v>每週執行與狀態追蹤</x:v>
      </x:c>
    </x:row>
    <x:row r="3" ht="28" customHeight="1">
      <x:c r="A3" s="11" t="str">
        <x:v>週起日</x:v>
      </x:c>
      <x:c r="B3" s="11" t="str">
        <x:v>本週唯一成果</x:v>
      </x:c>
      <x:c r="C3" s="11" t="str">
        <x:v>預計時數</x:v>
      </x:c>
      <x:c r="D3" s="11" t="str">
        <x:v>實際時數</x:v>
      </x:c>
      <x:c r="E3" s="11" t="str">
        <x:v>實戰時數</x:v>
      </x:c>
      <x:c r="F3" s="11" t="str">
        <x:v>純學習時數</x:v>
      </x:c>
      <x:c r="G3" s="11" t="str">
        <x:v>完成率</x:v>
      </x:c>
      <x:c r="H3" s="11" t="str">
        <x:v>新增證據數</x:v>
      </x:c>
      <x:c r="I3" s="11" t="str">
        <x:v>新增資產數</x:v>
      </x:c>
      <x:c r="J3" s="11" t="str">
        <x:v>能量1–5</x:v>
      </x:c>
      <x:c r="K3" s="11" t="str">
        <x:v>壓力1–5</x:v>
      </x:c>
      <x:c r="L3" s="11" t="str">
        <x:v>主要障礙</x:v>
      </x:c>
      <x:c r="M3" s="11" t="str">
        <x:v>下週重點</x:v>
      </x:c>
    </x:row>
    <x:row r="4" ht="30" customHeight="1">
      <x:c r="A4" s="59"/>
      <x:c r="B4" s="27"/>
      <x:c r="C4" s="27"/>
      <x:c r="D4" s="27"/>
      <x:c r="E4" s="27"/>
      <x:c r="F4" s="27"/>
      <x:c r="G4" s="62"/>
      <x:c r="H4" s="27"/>
      <x:c r="I4" s="27"/>
      <x:c r="J4" s="27"/>
      <x:c r="K4" s="27"/>
      <x:c r="L4" s="27"/>
      <x:c r="M4" s="19"/>
    </x:row>
    <x:row r="5" ht="30" customHeight="1">
      <x:c r="A5" s="60"/>
      <x:c r="B5" s="28"/>
      <x:c r="C5" s="28"/>
      <x:c r="D5" s="28"/>
      <x:c r="E5" s="28"/>
      <x:c r="F5" s="28"/>
      <x:c r="G5" s="63"/>
      <x:c r="H5" s="28"/>
      <x:c r="I5" s="28"/>
      <x:c r="J5" s="28"/>
      <x:c r="K5" s="28"/>
      <x:c r="L5" s="28"/>
      <x:c r="M5" s="21"/>
    </x:row>
    <x:row r="6" ht="30" customHeight="1">
      <x:c r="A6" s="60"/>
      <x:c r="B6" s="28"/>
      <x:c r="C6" s="28"/>
      <x:c r="D6" s="28"/>
      <x:c r="E6" s="28"/>
      <x:c r="F6" s="28"/>
      <x:c r="G6" s="63"/>
      <x:c r="H6" s="28"/>
      <x:c r="I6" s="28"/>
      <x:c r="J6" s="28"/>
      <x:c r="K6" s="28"/>
      <x:c r="L6" s="28"/>
      <x:c r="M6" s="21"/>
    </x:row>
    <x:row r="7" ht="30" customHeight="1">
      <x:c r="A7" s="60"/>
      <x:c r="B7" s="28"/>
      <x:c r="C7" s="28"/>
      <x:c r="D7" s="28"/>
      <x:c r="E7" s="28"/>
      <x:c r="F7" s="28"/>
      <x:c r="G7" s="63"/>
      <x:c r="H7" s="28"/>
      <x:c r="I7" s="28"/>
      <x:c r="J7" s="28"/>
      <x:c r="K7" s="28"/>
      <x:c r="L7" s="28"/>
      <x:c r="M7" s="21"/>
    </x:row>
    <x:row r="8" ht="30" customHeight="1">
      <x:c r="A8" s="60"/>
      <x:c r="B8" s="28"/>
      <x:c r="C8" s="28"/>
      <x:c r="D8" s="28"/>
      <x:c r="E8" s="28"/>
      <x:c r="F8" s="28"/>
      <x:c r="G8" s="63"/>
      <x:c r="H8" s="28"/>
      <x:c r="I8" s="28"/>
      <x:c r="J8" s="28"/>
      <x:c r="K8" s="28"/>
      <x:c r="L8" s="28"/>
      <x:c r="M8" s="21"/>
    </x:row>
    <x:row r="9" ht="30" customHeight="1">
      <x:c r="A9" s="60"/>
      <x:c r="B9" s="28"/>
      <x:c r="C9" s="28"/>
      <x:c r="D9" s="28"/>
      <x:c r="E9" s="28"/>
      <x:c r="F9" s="28"/>
      <x:c r="G9" s="63"/>
      <x:c r="H9" s="28"/>
      <x:c r="I9" s="28"/>
      <x:c r="J9" s="28"/>
      <x:c r="K9" s="28"/>
      <x:c r="L9" s="28"/>
      <x:c r="M9" s="21"/>
    </x:row>
    <x:row r="10" ht="30" customHeight="1">
      <x:c r="A10" s="60"/>
      <x:c r="B10" s="28"/>
      <x:c r="C10" s="28"/>
      <x:c r="D10" s="28"/>
      <x:c r="E10" s="28"/>
      <x:c r="F10" s="28"/>
      <x:c r="G10" s="63"/>
      <x:c r="H10" s="28"/>
      <x:c r="I10" s="28"/>
      <x:c r="J10" s="28"/>
      <x:c r="K10" s="28"/>
      <x:c r="L10" s="28"/>
      <x:c r="M10" s="21"/>
    </x:row>
    <x:row r="11" ht="30" customHeight="1">
      <x:c r="A11" s="60"/>
      <x:c r="B11" s="28"/>
      <x:c r="C11" s="28"/>
      <x:c r="D11" s="28"/>
      <x:c r="E11" s="28"/>
      <x:c r="F11" s="28"/>
      <x:c r="G11" s="63"/>
      <x:c r="H11" s="28"/>
      <x:c r="I11" s="28"/>
      <x:c r="J11" s="28"/>
      <x:c r="K11" s="28"/>
      <x:c r="L11" s="28"/>
      <x:c r="M11" s="21"/>
    </x:row>
    <x:row r="12" ht="30" customHeight="1">
      <x:c r="A12" s="60"/>
      <x:c r="B12" s="28"/>
      <x:c r="C12" s="28"/>
      <x:c r="D12" s="28"/>
      <x:c r="E12" s="28"/>
      <x:c r="F12" s="28"/>
      <x:c r="G12" s="63"/>
      <x:c r="H12" s="28"/>
      <x:c r="I12" s="28"/>
      <x:c r="J12" s="28"/>
      <x:c r="K12" s="28"/>
      <x:c r="L12" s="28"/>
      <x:c r="M12" s="21"/>
    </x:row>
    <x:row r="13" ht="30" customHeight="1">
      <x:c r="A13" s="60"/>
      <x:c r="B13" s="28"/>
      <x:c r="C13" s="28"/>
      <x:c r="D13" s="28"/>
      <x:c r="E13" s="28"/>
      <x:c r="F13" s="28"/>
      <x:c r="G13" s="63"/>
      <x:c r="H13" s="28"/>
      <x:c r="I13" s="28"/>
      <x:c r="J13" s="28"/>
      <x:c r="K13" s="28"/>
      <x:c r="L13" s="28"/>
      <x:c r="M13" s="21"/>
    </x:row>
    <x:row r="14" ht="30" customHeight="1">
      <x:c r="A14" s="60"/>
      <x:c r="B14" s="28"/>
      <x:c r="C14" s="28"/>
      <x:c r="D14" s="28"/>
      <x:c r="E14" s="28"/>
      <x:c r="F14" s="28"/>
      <x:c r="G14" s="63"/>
      <x:c r="H14" s="28"/>
      <x:c r="I14" s="28"/>
      <x:c r="J14" s="28"/>
      <x:c r="K14" s="28"/>
      <x:c r="L14" s="28"/>
      <x:c r="M14" s="21"/>
    </x:row>
    <x:row r="15" ht="30" customHeight="1">
      <x:c r="A15" s="60"/>
      <x:c r="B15" s="28"/>
      <x:c r="C15" s="28"/>
      <x:c r="D15" s="28"/>
      <x:c r="E15" s="28"/>
      <x:c r="F15" s="28"/>
      <x:c r="G15" s="63"/>
      <x:c r="H15" s="28"/>
      <x:c r="I15" s="28"/>
      <x:c r="J15" s="28"/>
      <x:c r="K15" s="28"/>
      <x:c r="L15" s="28"/>
      <x:c r="M15" s="21"/>
    </x:row>
    <x:row r="16" ht="30" customHeight="1">
      <x:c r="A16" s="60"/>
      <x:c r="B16" s="28"/>
      <x:c r="C16" s="28"/>
      <x:c r="D16" s="28"/>
      <x:c r="E16" s="28"/>
      <x:c r="F16" s="28"/>
      <x:c r="G16" s="63"/>
      <x:c r="H16" s="28"/>
      <x:c r="I16" s="28"/>
      <x:c r="J16" s="28"/>
      <x:c r="K16" s="28"/>
      <x:c r="L16" s="28"/>
      <x:c r="M16" s="21"/>
    </x:row>
    <x:row r="17" ht="30" customHeight="1">
      <x:c r="A17" s="60"/>
      <x:c r="B17" s="28"/>
      <x:c r="C17" s="28"/>
      <x:c r="D17" s="28"/>
      <x:c r="E17" s="28"/>
      <x:c r="F17" s="28"/>
      <x:c r="G17" s="63"/>
      <x:c r="H17" s="28"/>
      <x:c r="I17" s="28"/>
      <x:c r="J17" s="28"/>
      <x:c r="K17" s="28"/>
      <x:c r="L17" s="28"/>
      <x:c r="M17" s="21"/>
    </x:row>
    <x:row r="18" ht="30" customHeight="1">
      <x:c r="A18" s="60"/>
      <x:c r="B18" s="28"/>
      <x:c r="C18" s="28"/>
      <x:c r="D18" s="28"/>
      <x:c r="E18" s="28"/>
      <x:c r="F18" s="28"/>
      <x:c r="G18" s="63"/>
      <x:c r="H18" s="28"/>
      <x:c r="I18" s="28"/>
      <x:c r="J18" s="28"/>
      <x:c r="K18" s="28"/>
      <x:c r="L18" s="28"/>
      <x:c r="M18" s="21"/>
    </x:row>
    <x:row r="19" ht="30" customHeight="1">
      <x:c r="A19" s="60"/>
      <x:c r="B19" s="28"/>
      <x:c r="C19" s="28"/>
      <x:c r="D19" s="28"/>
      <x:c r="E19" s="28"/>
      <x:c r="F19" s="28"/>
      <x:c r="G19" s="63"/>
      <x:c r="H19" s="28"/>
      <x:c r="I19" s="28"/>
      <x:c r="J19" s="28"/>
      <x:c r="K19" s="28"/>
      <x:c r="L19" s="28"/>
      <x:c r="M19" s="21"/>
    </x:row>
    <x:row r="20" ht="30" customHeight="1">
      <x:c r="A20" s="60"/>
      <x:c r="B20" s="28"/>
      <x:c r="C20" s="28"/>
      <x:c r="D20" s="28"/>
      <x:c r="E20" s="28"/>
      <x:c r="F20" s="28"/>
      <x:c r="G20" s="63"/>
      <x:c r="H20" s="28"/>
      <x:c r="I20" s="28"/>
      <x:c r="J20" s="28"/>
      <x:c r="K20" s="28"/>
      <x:c r="L20" s="28"/>
      <x:c r="M20" s="21"/>
    </x:row>
    <x:row r="21" ht="30" customHeight="1">
      <x:c r="A21" s="60"/>
      <x:c r="B21" s="28"/>
      <x:c r="C21" s="28"/>
      <x:c r="D21" s="28"/>
      <x:c r="E21" s="28"/>
      <x:c r="F21" s="28"/>
      <x:c r="G21" s="63"/>
      <x:c r="H21" s="28"/>
      <x:c r="I21" s="28"/>
      <x:c r="J21" s="28"/>
      <x:c r="K21" s="28"/>
      <x:c r="L21" s="28"/>
      <x:c r="M21" s="21"/>
    </x:row>
    <x:row r="22" ht="30" customHeight="1">
      <x:c r="A22" s="60"/>
      <x:c r="B22" s="28"/>
      <x:c r="C22" s="28"/>
      <x:c r="D22" s="28"/>
      <x:c r="E22" s="28"/>
      <x:c r="F22" s="28"/>
      <x:c r="G22" s="63"/>
      <x:c r="H22" s="28"/>
      <x:c r="I22" s="28"/>
      <x:c r="J22" s="28"/>
      <x:c r="K22" s="28"/>
      <x:c r="L22" s="28"/>
      <x:c r="M22" s="21"/>
    </x:row>
    <x:row r="23" ht="30" customHeight="1">
      <x:c r="A23" s="60"/>
      <x:c r="B23" s="28"/>
      <x:c r="C23" s="28"/>
      <x:c r="D23" s="28"/>
      <x:c r="E23" s="28"/>
      <x:c r="F23" s="28"/>
      <x:c r="G23" s="63"/>
      <x:c r="H23" s="28"/>
      <x:c r="I23" s="28"/>
      <x:c r="J23" s="28"/>
      <x:c r="K23" s="28"/>
      <x:c r="L23" s="28"/>
      <x:c r="M23" s="21"/>
    </x:row>
    <x:row r="24" ht="30" customHeight="1">
      <x:c r="A24" s="60"/>
      <x:c r="B24" s="28"/>
      <x:c r="C24" s="28"/>
      <x:c r="D24" s="28"/>
      <x:c r="E24" s="28"/>
      <x:c r="F24" s="28"/>
      <x:c r="G24" s="63"/>
      <x:c r="H24" s="28"/>
      <x:c r="I24" s="28"/>
      <x:c r="J24" s="28"/>
      <x:c r="K24" s="28"/>
      <x:c r="L24" s="28"/>
      <x:c r="M24" s="21"/>
    </x:row>
    <x:row r="25" ht="30" customHeight="1">
      <x:c r="A25" s="60"/>
      <x:c r="B25" s="28"/>
      <x:c r="C25" s="28"/>
      <x:c r="D25" s="28"/>
      <x:c r="E25" s="28"/>
      <x:c r="F25" s="28"/>
      <x:c r="G25" s="63"/>
      <x:c r="H25" s="28"/>
      <x:c r="I25" s="28"/>
      <x:c r="J25" s="28"/>
      <x:c r="K25" s="28"/>
      <x:c r="L25" s="28"/>
      <x:c r="M25" s="21"/>
    </x:row>
    <x:row r="26" ht="30" customHeight="1">
      <x:c r="A26" s="60"/>
      <x:c r="B26" s="28"/>
      <x:c r="C26" s="28"/>
      <x:c r="D26" s="28"/>
      <x:c r="E26" s="28"/>
      <x:c r="F26" s="28"/>
      <x:c r="G26" s="63"/>
      <x:c r="H26" s="28"/>
      <x:c r="I26" s="28"/>
      <x:c r="J26" s="28"/>
      <x:c r="K26" s="28"/>
      <x:c r="L26" s="28"/>
      <x:c r="M26" s="21"/>
    </x:row>
    <x:row r="27" ht="30" customHeight="1">
      <x:c r="A27" s="60"/>
      <x:c r="B27" s="28"/>
      <x:c r="C27" s="28"/>
      <x:c r="D27" s="28"/>
      <x:c r="E27" s="28"/>
      <x:c r="F27" s="28"/>
      <x:c r="G27" s="63"/>
      <x:c r="H27" s="28"/>
      <x:c r="I27" s="28"/>
      <x:c r="J27" s="28"/>
      <x:c r="K27" s="28"/>
      <x:c r="L27" s="28"/>
      <x:c r="M27" s="21"/>
    </x:row>
    <x:row r="28" ht="30" customHeight="1">
      <x:c r="A28" s="60"/>
      <x:c r="B28" s="28"/>
      <x:c r="C28" s="28"/>
      <x:c r="D28" s="28"/>
      <x:c r="E28" s="28"/>
      <x:c r="F28" s="28"/>
      <x:c r="G28" s="63"/>
      <x:c r="H28" s="28"/>
      <x:c r="I28" s="28"/>
      <x:c r="J28" s="28"/>
      <x:c r="K28" s="28"/>
      <x:c r="L28" s="28"/>
      <x:c r="M28" s="21"/>
    </x:row>
    <x:row r="29" ht="30" customHeight="1">
      <x:c r="A29" s="60"/>
      <x:c r="B29" s="28"/>
      <x:c r="C29" s="28"/>
      <x:c r="D29" s="28"/>
      <x:c r="E29" s="28"/>
      <x:c r="F29" s="28"/>
      <x:c r="G29" s="63"/>
      <x:c r="H29" s="28"/>
      <x:c r="I29" s="28"/>
      <x:c r="J29" s="28"/>
      <x:c r="K29" s="28"/>
      <x:c r="L29" s="28"/>
      <x:c r="M29" s="21"/>
    </x:row>
    <x:row r="30" ht="30" customHeight="1">
      <x:c r="A30" s="60"/>
      <x:c r="B30" s="28"/>
      <x:c r="C30" s="28"/>
      <x:c r="D30" s="28"/>
      <x:c r="E30" s="28"/>
      <x:c r="F30" s="28"/>
      <x:c r="G30" s="63"/>
      <x:c r="H30" s="28"/>
      <x:c r="I30" s="28"/>
      <x:c r="J30" s="28"/>
      <x:c r="K30" s="28"/>
      <x:c r="L30" s="28"/>
      <x:c r="M30" s="21"/>
    </x:row>
    <x:row r="31" ht="30" customHeight="1">
      <x:c r="A31" s="60"/>
      <x:c r="B31" s="28"/>
      <x:c r="C31" s="28"/>
      <x:c r="D31" s="28"/>
      <x:c r="E31" s="28"/>
      <x:c r="F31" s="28"/>
      <x:c r="G31" s="63"/>
      <x:c r="H31" s="28"/>
      <x:c r="I31" s="28"/>
      <x:c r="J31" s="28"/>
      <x:c r="K31" s="28"/>
      <x:c r="L31" s="28"/>
      <x:c r="M31" s="21"/>
    </x:row>
    <x:row r="32" ht="30" customHeight="1">
      <x:c r="A32" s="60"/>
      <x:c r="B32" s="28"/>
      <x:c r="C32" s="28"/>
      <x:c r="D32" s="28"/>
      <x:c r="E32" s="28"/>
      <x:c r="F32" s="28"/>
      <x:c r="G32" s="63"/>
      <x:c r="H32" s="28"/>
      <x:c r="I32" s="28"/>
      <x:c r="J32" s="28"/>
      <x:c r="K32" s="28"/>
      <x:c r="L32" s="28"/>
      <x:c r="M32" s="21"/>
    </x:row>
    <x:row r="33" ht="30" customHeight="1">
      <x:c r="A33" s="60"/>
      <x:c r="B33" s="28"/>
      <x:c r="C33" s="28"/>
      <x:c r="D33" s="28"/>
      <x:c r="E33" s="28"/>
      <x:c r="F33" s="28"/>
      <x:c r="G33" s="63"/>
      <x:c r="H33" s="28"/>
      <x:c r="I33" s="28"/>
      <x:c r="J33" s="28"/>
      <x:c r="K33" s="28"/>
      <x:c r="L33" s="28"/>
      <x:c r="M33" s="21"/>
    </x:row>
    <x:row r="34" ht="30" customHeight="1">
      <x:c r="A34" s="60"/>
      <x:c r="B34" s="28"/>
      <x:c r="C34" s="28"/>
      <x:c r="D34" s="28"/>
      <x:c r="E34" s="28"/>
      <x:c r="F34" s="28"/>
      <x:c r="G34" s="63"/>
      <x:c r="H34" s="28"/>
      <x:c r="I34" s="28"/>
      <x:c r="J34" s="28"/>
      <x:c r="K34" s="28"/>
      <x:c r="L34" s="28"/>
      <x:c r="M34" s="21"/>
    </x:row>
    <x:row r="35" ht="30" customHeight="1">
      <x:c r="A35" s="60"/>
      <x:c r="B35" s="28"/>
      <x:c r="C35" s="28"/>
      <x:c r="D35" s="28"/>
      <x:c r="E35" s="28"/>
      <x:c r="F35" s="28"/>
      <x:c r="G35" s="63"/>
      <x:c r="H35" s="28"/>
      <x:c r="I35" s="28"/>
      <x:c r="J35" s="28"/>
      <x:c r="K35" s="28"/>
      <x:c r="L35" s="28"/>
      <x:c r="M35" s="21"/>
    </x:row>
    <x:row r="36" ht="30" customHeight="1">
      <x:c r="A36" s="60"/>
      <x:c r="B36" s="28"/>
      <x:c r="C36" s="28"/>
      <x:c r="D36" s="28"/>
      <x:c r="E36" s="28"/>
      <x:c r="F36" s="28"/>
      <x:c r="G36" s="63"/>
      <x:c r="H36" s="28"/>
      <x:c r="I36" s="28"/>
      <x:c r="J36" s="28"/>
      <x:c r="K36" s="28"/>
      <x:c r="L36" s="28"/>
      <x:c r="M36" s="21"/>
    </x:row>
    <x:row r="37" ht="30" customHeight="1">
      <x:c r="A37" s="60"/>
      <x:c r="B37" s="28"/>
      <x:c r="C37" s="28"/>
      <x:c r="D37" s="28"/>
      <x:c r="E37" s="28"/>
      <x:c r="F37" s="28"/>
      <x:c r="G37" s="63"/>
      <x:c r="H37" s="28"/>
      <x:c r="I37" s="28"/>
      <x:c r="J37" s="28"/>
      <x:c r="K37" s="28"/>
      <x:c r="L37" s="28"/>
      <x:c r="M37" s="21"/>
    </x:row>
    <x:row r="38" ht="30" customHeight="1">
      <x:c r="A38" s="60"/>
      <x:c r="B38" s="28"/>
      <x:c r="C38" s="28"/>
      <x:c r="D38" s="28"/>
      <x:c r="E38" s="28"/>
      <x:c r="F38" s="28"/>
      <x:c r="G38" s="63"/>
      <x:c r="H38" s="28"/>
      <x:c r="I38" s="28"/>
      <x:c r="J38" s="28"/>
      <x:c r="K38" s="28"/>
      <x:c r="L38" s="28"/>
      <x:c r="M38" s="21"/>
    </x:row>
    <x:row r="39" ht="30" customHeight="1">
      <x:c r="A39" s="60"/>
      <x:c r="B39" s="28"/>
      <x:c r="C39" s="28"/>
      <x:c r="D39" s="28"/>
      <x:c r="E39" s="28"/>
      <x:c r="F39" s="28"/>
      <x:c r="G39" s="63"/>
      <x:c r="H39" s="28"/>
      <x:c r="I39" s="28"/>
      <x:c r="J39" s="28"/>
      <x:c r="K39" s="28"/>
      <x:c r="L39" s="28"/>
      <x:c r="M39" s="21"/>
    </x:row>
    <x:row r="40" ht="30" customHeight="1">
      <x:c r="A40" s="60"/>
      <x:c r="B40" s="28"/>
      <x:c r="C40" s="28"/>
      <x:c r="D40" s="28"/>
      <x:c r="E40" s="28"/>
      <x:c r="F40" s="28"/>
      <x:c r="G40" s="63"/>
      <x:c r="H40" s="28"/>
      <x:c r="I40" s="28"/>
      <x:c r="J40" s="28"/>
      <x:c r="K40" s="28"/>
      <x:c r="L40" s="28"/>
      <x:c r="M40" s="21"/>
    </x:row>
    <x:row r="41" ht="30" customHeight="1">
      <x:c r="A41" s="60"/>
      <x:c r="B41" s="28"/>
      <x:c r="C41" s="28"/>
      <x:c r="D41" s="28"/>
      <x:c r="E41" s="28"/>
      <x:c r="F41" s="28"/>
      <x:c r="G41" s="63"/>
      <x:c r="H41" s="28"/>
      <x:c r="I41" s="28"/>
      <x:c r="J41" s="28"/>
      <x:c r="K41" s="28"/>
      <x:c r="L41" s="28"/>
      <x:c r="M41" s="21"/>
    </x:row>
    <x:row r="42" ht="30" customHeight="1">
      <x:c r="A42" s="60"/>
      <x:c r="B42" s="28"/>
      <x:c r="C42" s="28"/>
      <x:c r="D42" s="28"/>
      <x:c r="E42" s="28"/>
      <x:c r="F42" s="28"/>
      <x:c r="G42" s="63"/>
      <x:c r="H42" s="28"/>
      <x:c r="I42" s="28"/>
      <x:c r="J42" s="28"/>
      <x:c r="K42" s="28"/>
      <x:c r="L42" s="28"/>
      <x:c r="M42" s="21"/>
    </x:row>
    <x:row r="43" ht="30" customHeight="1">
      <x:c r="A43" s="60"/>
      <x:c r="B43" s="28"/>
      <x:c r="C43" s="28"/>
      <x:c r="D43" s="28"/>
      <x:c r="E43" s="28"/>
      <x:c r="F43" s="28"/>
      <x:c r="G43" s="63"/>
      <x:c r="H43" s="28"/>
      <x:c r="I43" s="28"/>
      <x:c r="J43" s="28"/>
      <x:c r="K43" s="28"/>
      <x:c r="L43" s="28"/>
      <x:c r="M43" s="21"/>
    </x:row>
    <x:row r="44" ht="30" customHeight="1">
      <x:c r="A44" s="60"/>
      <x:c r="B44" s="28"/>
      <x:c r="C44" s="28"/>
      <x:c r="D44" s="28"/>
      <x:c r="E44" s="28"/>
      <x:c r="F44" s="28"/>
      <x:c r="G44" s="63"/>
      <x:c r="H44" s="28"/>
      <x:c r="I44" s="28"/>
      <x:c r="J44" s="28"/>
      <x:c r="K44" s="28"/>
      <x:c r="L44" s="28"/>
      <x:c r="M44" s="21"/>
    </x:row>
    <x:row r="45" ht="30" customHeight="1">
      <x:c r="A45" s="60"/>
      <x:c r="B45" s="28"/>
      <x:c r="C45" s="28"/>
      <x:c r="D45" s="28"/>
      <x:c r="E45" s="28"/>
      <x:c r="F45" s="28"/>
      <x:c r="G45" s="63"/>
      <x:c r="H45" s="28"/>
      <x:c r="I45" s="28"/>
      <x:c r="J45" s="28"/>
      <x:c r="K45" s="28"/>
      <x:c r="L45" s="28"/>
      <x:c r="M45" s="21"/>
    </x:row>
    <x:row r="46" ht="30" customHeight="1">
      <x:c r="A46" s="60"/>
      <x:c r="B46" s="28"/>
      <x:c r="C46" s="28"/>
      <x:c r="D46" s="28"/>
      <x:c r="E46" s="28"/>
      <x:c r="F46" s="28"/>
      <x:c r="G46" s="63"/>
      <x:c r="H46" s="28"/>
      <x:c r="I46" s="28"/>
      <x:c r="J46" s="28"/>
      <x:c r="K46" s="28"/>
      <x:c r="L46" s="28"/>
      <x:c r="M46" s="21"/>
    </x:row>
    <x:row r="47" ht="30" customHeight="1">
      <x:c r="A47" s="60"/>
      <x:c r="B47" s="28"/>
      <x:c r="C47" s="28"/>
      <x:c r="D47" s="28"/>
      <x:c r="E47" s="28"/>
      <x:c r="F47" s="28"/>
      <x:c r="G47" s="63"/>
      <x:c r="H47" s="28"/>
      <x:c r="I47" s="28"/>
      <x:c r="J47" s="28"/>
      <x:c r="K47" s="28"/>
      <x:c r="L47" s="28"/>
      <x:c r="M47" s="21"/>
    </x:row>
    <x:row r="48" ht="30" customHeight="1">
      <x:c r="A48" s="60"/>
      <x:c r="B48" s="28"/>
      <x:c r="C48" s="28"/>
      <x:c r="D48" s="28"/>
      <x:c r="E48" s="28"/>
      <x:c r="F48" s="28"/>
      <x:c r="G48" s="63"/>
      <x:c r="H48" s="28"/>
      <x:c r="I48" s="28"/>
      <x:c r="J48" s="28"/>
      <x:c r="K48" s="28"/>
      <x:c r="L48" s="28"/>
      <x:c r="M48" s="21"/>
    </x:row>
    <x:row r="49" ht="30" customHeight="1">
      <x:c r="A49" s="60"/>
      <x:c r="B49" s="28"/>
      <x:c r="C49" s="28"/>
      <x:c r="D49" s="28"/>
      <x:c r="E49" s="28"/>
      <x:c r="F49" s="28"/>
      <x:c r="G49" s="63"/>
      <x:c r="H49" s="28"/>
      <x:c r="I49" s="28"/>
      <x:c r="J49" s="28"/>
      <x:c r="K49" s="28"/>
      <x:c r="L49" s="28"/>
      <x:c r="M49" s="21"/>
    </x:row>
    <x:row r="50" ht="30" customHeight="1">
      <x:c r="A50" s="60"/>
      <x:c r="B50" s="28"/>
      <x:c r="C50" s="28"/>
      <x:c r="D50" s="28"/>
      <x:c r="E50" s="28"/>
      <x:c r="F50" s="28"/>
      <x:c r="G50" s="63"/>
      <x:c r="H50" s="28"/>
      <x:c r="I50" s="28"/>
      <x:c r="J50" s="28"/>
      <x:c r="K50" s="28"/>
      <x:c r="L50" s="28"/>
      <x:c r="M50" s="21"/>
    </x:row>
    <x:row r="51" ht="30" customHeight="1">
      <x:c r="A51" s="60"/>
      <x:c r="B51" s="28"/>
      <x:c r="C51" s="28"/>
      <x:c r="D51" s="28"/>
      <x:c r="E51" s="28"/>
      <x:c r="F51" s="28"/>
      <x:c r="G51" s="63"/>
      <x:c r="H51" s="28"/>
      <x:c r="I51" s="28"/>
      <x:c r="J51" s="28"/>
      <x:c r="K51" s="28"/>
      <x:c r="L51" s="28"/>
      <x:c r="M51" s="21"/>
    </x:row>
    <x:row r="52" ht="30" customHeight="1">
      <x:c r="A52" s="60"/>
      <x:c r="B52" s="28"/>
      <x:c r="C52" s="28"/>
      <x:c r="D52" s="28"/>
      <x:c r="E52" s="28"/>
      <x:c r="F52" s="28"/>
      <x:c r="G52" s="63"/>
      <x:c r="H52" s="28"/>
      <x:c r="I52" s="28"/>
      <x:c r="J52" s="28"/>
      <x:c r="K52" s="28"/>
      <x:c r="L52" s="28"/>
      <x:c r="M52" s="21"/>
    </x:row>
    <x:row r="53" ht="30" customHeight="1">
      <x:c r="A53" s="60"/>
      <x:c r="B53" s="28"/>
      <x:c r="C53" s="28"/>
      <x:c r="D53" s="28"/>
      <x:c r="E53" s="28"/>
      <x:c r="F53" s="28"/>
      <x:c r="G53" s="63"/>
      <x:c r="H53" s="28"/>
      <x:c r="I53" s="28"/>
      <x:c r="J53" s="28"/>
      <x:c r="K53" s="28"/>
      <x:c r="L53" s="28"/>
      <x:c r="M53" s="21"/>
    </x:row>
    <x:row r="54" ht="30" customHeight="1">
      <x:c r="A54" s="60"/>
      <x:c r="B54" s="28"/>
      <x:c r="C54" s="28"/>
      <x:c r="D54" s="28"/>
      <x:c r="E54" s="28"/>
      <x:c r="F54" s="28"/>
      <x:c r="G54" s="63"/>
      <x:c r="H54" s="28"/>
      <x:c r="I54" s="28"/>
      <x:c r="J54" s="28"/>
      <x:c r="K54" s="28"/>
      <x:c r="L54" s="28"/>
      <x:c r="M54" s="21"/>
    </x:row>
    <x:row r="55" ht="30" customHeight="1">
      <x:c r="A55" s="61"/>
      <x:c r="B55" s="29"/>
      <x:c r="C55" s="29"/>
      <x:c r="D55" s="29"/>
      <x:c r="E55" s="29"/>
      <x:c r="F55" s="29"/>
      <x:c r="G55" s="64"/>
      <x:c r="H55" s="29"/>
      <x:c r="I55" s="29"/>
      <x:c r="J55" s="29"/>
      <x:c r="K55" s="29"/>
      <x:c r="L55" s="29"/>
      <x:c r="M55" s="23"/>
    </x:row>
  </x:sheetData>
  <x:mergeCells>
    <x:mergeCell ref="A1:M1"/>
  </x:mergeCells>
  <x:dataValidations count="3">
    <x:dataValidation type="decimal" operator="between" sqref="C4:F55">
      <x:formula1>0</x:formula1>
      <x:formula2>80</x:formula2>
    </x:dataValidation>
    <x:dataValidation type="decimal" operator="between" sqref="G4:G55">
      <x:formula1>0</x:formula1>
      <x:formula2>1</x:formula2>
    </x:dataValidation>
    <x:dataValidation type="whole" operator="between" sqref="H4:K55">
      <x:formula1>0</x:formula1>
      <x:formula2>20</x:formula2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3" hidden="0" customWidth="1"/>
    <x:col min="3" max="3" width="34" hidden="0" customWidth="1"/>
    <x:col min="4" max="4" width="32" hidden="0" customWidth="1"/>
    <x:col min="5" max="5" width="26" hidden="0" customWidth="1"/>
    <x:col min="6" max="6" width="26" hidden="0" customWidth="1"/>
    <x:col min="7" max="7" width="30" hidden="0" customWidth="1"/>
    <x:col min="8" max="8" width="24" hidden="0" customWidth="1"/>
    <x:col min="9" max="9" width="22" hidden="0" customWidth="1"/>
    <x:col min="10" max="10" width="22" hidden="0" customWidth="1"/>
    <x:col min="11" max="11" width="22" hidden="0" customWidth="1"/>
    <x:col min="12" max="12" width="34" hidden="0" customWidth="1"/>
  </x:cols>
  <x:sheetData>
    <x:row r="1" ht="34" customHeight="1">
      <x:c r="A1" s="3" t="str">
        <x:v>月度與季度治理紀錄</x:v>
      </x:c>
      <x:c r="B1" s="3" t="str">
        <x:v>月度與季度治理紀錄</x:v>
      </x:c>
      <x:c r="C1" s="3" t="str">
        <x:v>月度與季度治理紀錄</x:v>
      </x:c>
      <x:c r="D1" s="3" t="str">
        <x:v>月度與季度治理紀錄</x:v>
      </x:c>
      <x:c r="E1" s="3" t="str">
        <x:v>月度與季度治理紀錄</x:v>
      </x:c>
      <x:c r="F1" s="3" t="str">
        <x:v>月度與季度治理紀錄</x:v>
      </x:c>
      <x:c r="G1" s="3" t="str">
        <x:v>月度與季度治理紀錄</x:v>
      </x:c>
      <x:c r="H1" s="3" t="str">
        <x:v>月度與季度治理紀錄</x:v>
      </x:c>
      <x:c r="I1" s="3" t="str">
        <x:v>月度與季度治理紀錄</x:v>
      </x:c>
      <x:c r="J1" s="3" t="str">
        <x:v>月度與季度治理紀錄</x:v>
      </x:c>
      <x:c r="K1" s="3" t="str">
        <x:v>月度與季度治理紀錄</x:v>
      </x:c>
      <x:c r="L1" s="3" t="str">
        <x:v>月度與季度治理紀錄</x:v>
      </x:c>
    </x:row>
    <x:row r="3" ht="28" customHeight="1">
      <x:c r="A3" s="11" t="str">
        <x:v>期間</x:v>
      </x:c>
      <x:c r="B3" s="11" t="str">
        <x:v>類型</x:v>
      </x:c>
      <x:c r="C3" s="11" t="str">
        <x:v>最重要成果</x:v>
      </x:c>
      <x:c r="D3" s="11" t="str">
        <x:v>未完成與原因</x:v>
      </x:c>
      <x:c r="E3" s="11" t="str">
        <x:v>E3/E4證據</x:v>
      </x:c>
      <x:c r="F3" s="11" t="str">
        <x:v>外部回饋</x:v>
      </x:c>
      <x:c r="G3" s="11" t="str">
        <x:v>工作結構變化</x:v>
      </x:c>
      <x:c r="H3" s="11" t="str">
        <x:v>身心狀態</x:v>
      </x:c>
      <x:c r="I3" s="11" t="str">
        <x:v>繼續</x:v>
      </x:c>
      <x:c r="J3" s="11" t="str">
        <x:v>停止</x:v>
      </x:c>
      <x:c r="K3" s="11" t="str">
        <x:v>開始</x:v>
      </x:c>
      <x:c r="L3" s="11" t="str">
        <x:v>下一期唯一重點</x:v>
      </x:c>
    </x:row>
    <x:row r="4" ht="45" customHeight="1">
      <x:c r="A4" s="75"/>
      <x:c r="B4" s="33"/>
      <x:c r="C4" s="33"/>
      <x:c r="D4" s="33"/>
      <x:c r="E4" s="33"/>
      <x:c r="F4" s="33"/>
      <x:c r="G4" s="33"/>
      <x:c r="H4" s="33"/>
      <x:c r="I4" s="33"/>
      <x:c r="J4" s="33"/>
      <x:c r="K4" s="33"/>
      <x:c r="L4" s="30"/>
    </x:row>
    <x:row r="5" ht="45" customHeight="1">
      <x:c r="A5" s="76"/>
      <x:c r="B5" s="34"/>
      <x:c r="C5" s="34"/>
      <x:c r="D5" s="34"/>
      <x:c r="E5" s="34"/>
      <x:c r="F5" s="34"/>
      <x:c r="G5" s="34"/>
      <x:c r="H5" s="34"/>
      <x:c r="I5" s="34"/>
      <x:c r="J5" s="34"/>
      <x:c r="K5" s="34"/>
      <x:c r="L5" s="31"/>
    </x:row>
    <x:row r="6" ht="45" customHeight="1">
      <x:c r="A6" s="76"/>
      <x:c r="B6" s="34"/>
      <x:c r="C6" s="34"/>
      <x:c r="D6" s="34"/>
      <x:c r="E6" s="34"/>
      <x:c r="F6" s="34"/>
      <x:c r="G6" s="34"/>
      <x:c r="H6" s="34"/>
      <x:c r="I6" s="34"/>
      <x:c r="J6" s="34"/>
      <x:c r="K6" s="34"/>
      <x:c r="L6" s="31"/>
    </x:row>
    <x:row r="7" ht="45" customHeight="1">
      <x:c r="A7" s="76"/>
      <x:c r="B7" s="34"/>
      <x:c r="C7" s="34"/>
      <x:c r="D7" s="34"/>
      <x:c r="E7" s="34"/>
      <x:c r="F7" s="34"/>
      <x:c r="G7" s="34"/>
      <x:c r="H7" s="34"/>
      <x:c r="I7" s="34"/>
      <x:c r="J7" s="34"/>
      <x:c r="K7" s="34"/>
      <x:c r="L7" s="31"/>
    </x:row>
    <x:row r="8" ht="45" customHeight="1">
      <x:c r="A8" s="76"/>
      <x:c r="B8" s="34"/>
      <x:c r="C8" s="34"/>
      <x:c r="D8" s="34"/>
      <x:c r="E8" s="34"/>
      <x:c r="F8" s="34"/>
      <x:c r="G8" s="34"/>
      <x:c r="H8" s="34"/>
      <x:c r="I8" s="34"/>
      <x:c r="J8" s="34"/>
      <x:c r="K8" s="34"/>
      <x:c r="L8" s="31"/>
    </x:row>
    <x:row r="9" ht="45" customHeight="1">
      <x:c r="A9" s="76"/>
      <x:c r="B9" s="34"/>
      <x:c r="C9" s="34"/>
      <x:c r="D9" s="34"/>
      <x:c r="E9" s="34"/>
      <x:c r="F9" s="34"/>
      <x:c r="G9" s="34"/>
      <x:c r="H9" s="34"/>
      <x:c r="I9" s="34"/>
      <x:c r="J9" s="34"/>
      <x:c r="K9" s="34"/>
      <x:c r="L9" s="31"/>
    </x:row>
    <x:row r="10" ht="45" customHeight="1">
      <x:c r="A10" s="76"/>
      <x:c r="B10" s="34"/>
      <x:c r="C10" s="34"/>
      <x:c r="D10" s="34"/>
      <x:c r="E10" s="34"/>
      <x:c r="F10" s="34"/>
      <x:c r="G10" s="34"/>
      <x:c r="H10" s="34"/>
      <x:c r="I10" s="34"/>
      <x:c r="J10" s="34"/>
      <x:c r="K10" s="34"/>
      <x:c r="L10" s="31"/>
    </x:row>
    <x:row r="11" ht="45" customHeight="1">
      <x:c r="A11" s="76"/>
      <x:c r="B11" s="34"/>
      <x:c r="C11" s="34"/>
      <x:c r="D11" s="34"/>
      <x:c r="E11" s="34"/>
      <x:c r="F11" s="34"/>
      <x:c r="G11" s="34"/>
      <x:c r="H11" s="34"/>
      <x:c r="I11" s="34"/>
      <x:c r="J11" s="34"/>
      <x:c r="K11" s="34"/>
      <x:c r="L11" s="31"/>
    </x:row>
    <x:row r="12" ht="45" customHeight="1">
      <x:c r="A12" s="76"/>
      <x:c r="B12" s="34"/>
      <x:c r="C12" s="34"/>
      <x:c r="D12" s="34"/>
      <x:c r="E12" s="34"/>
      <x:c r="F12" s="34"/>
      <x:c r="G12" s="34"/>
      <x:c r="H12" s="34"/>
      <x:c r="I12" s="34"/>
      <x:c r="J12" s="34"/>
      <x:c r="K12" s="34"/>
      <x:c r="L12" s="31"/>
    </x:row>
    <x:row r="13" ht="45" customHeight="1">
      <x:c r="A13" s="76"/>
      <x:c r="B13" s="34"/>
      <x:c r="C13" s="34"/>
      <x:c r="D13" s="34"/>
      <x:c r="E13" s="34"/>
      <x:c r="F13" s="34"/>
      <x:c r="G13" s="34"/>
      <x:c r="H13" s="34"/>
      <x:c r="I13" s="34"/>
      <x:c r="J13" s="34"/>
      <x:c r="K13" s="34"/>
      <x:c r="L13" s="31"/>
    </x:row>
    <x:row r="14" ht="45" customHeight="1">
      <x:c r="A14" s="76"/>
      <x:c r="B14" s="34"/>
      <x:c r="C14" s="34"/>
      <x:c r="D14" s="34"/>
      <x:c r="E14" s="34"/>
      <x:c r="F14" s="34"/>
      <x:c r="G14" s="34"/>
      <x:c r="H14" s="34"/>
      <x:c r="I14" s="34"/>
      <x:c r="J14" s="34"/>
      <x:c r="K14" s="34"/>
      <x:c r="L14" s="31"/>
    </x:row>
    <x:row r="15" ht="45" customHeight="1">
      <x:c r="A15" s="76"/>
      <x:c r="B15" s="34"/>
      <x:c r="C15" s="34"/>
      <x:c r="D15" s="34"/>
      <x:c r="E15" s="34"/>
      <x:c r="F15" s="34"/>
      <x:c r="G15" s="34"/>
      <x:c r="H15" s="34"/>
      <x:c r="I15" s="34"/>
      <x:c r="J15" s="34"/>
      <x:c r="K15" s="34"/>
      <x:c r="L15" s="31"/>
    </x:row>
    <x:row r="16" ht="45" customHeight="1">
      <x:c r="A16" s="76"/>
      <x:c r="B16" s="34"/>
      <x:c r="C16" s="34"/>
      <x:c r="D16" s="34"/>
      <x:c r="E16" s="34"/>
      <x:c r="F16" s="34"/>
      <x:c r="G16" s="34"/>
      <x:c r="H16" s="34"/>
      <x:c r="I16" s="34"/>
      <x:c r="J16" s="34"/>
      <x:c r="K16" s="34"/>
      <x:c r="L16" s="31"/>
    </x:row>
    <x:row r="17" ht="45" customHeight="1">
      <x:c r="A17" s="76"/>
      <x:c r="B17" s="34"/>
      <x:c r="C17" s="34"/>
      <x:c r="D17" s="34"/>
      <x:c r="E17" s="34"/>
      <x:c r="F17" s="34"/>
      <x:c r="G17" s="34"/>
      <x:c r="H17" s="34"/>
      <x:c r="I17" s="34"/>
      <x:c r="J17" s="34"/>
      <x:c r="K17" s="34"/>
      <x:c r="L17" s="31"/>
    </x:row>
    <x:row r="18" ht="45" customHeight="1">
      <x:c r="A18" s="76"/>
      <x:c r="B18" s="34"/>
      <x:c r="C18" s="34"/>
      <x:c r="D18" s="34"/>
      <x:c r="E18" s="34"/>
      <x:c r="F18" s="34"/>
      <x:c r="G18" s="34"/>
      <x:c r="H18" s="34"/>
      <x:c r="I18" s="34"/>
      <x:c r="J18" s="34"/>
      <x:c r="K18" s="34"/>
      <x:c r="L18" s="31"/>
    </x:row>
    <x:row r="19" ht="45" customHeight="1">
      <x:c r="A19" s="76"/>
      <x:c r="B19" s="34"/>
      <x:c r="C19" s="34"/>
      <x:c r="D19" s="34"/>
      <x:c r="E19" s="34"/>
      <x:c r="F19" s="34"/>
      <x:c r="G19" s="34"/>
      <x:c r="H19" s="34"/>
      <x:c r="I19" s="34"/>
      <x:c r="J19" s="34"/>
      <x:c r="K19" s="34"/>
      <x:c r="L19" s="31"/>
    </x:row>
    <x:row r="20" ht="45" customHeight="1">
      <x:c r="A20" s="76"/>
      <x:c r="B20" s="34"/>
      <x:c r="C20" s="34"/>
      <x:c r="D20" s="34"/>
      <x:c r="E20" s="34"/>
      <x:c r="F20" s="34"/>
      <x:c r="G20" s="34"/>
      <x:c r="H20" s="34"/>
      <x:c r="I20" s="34"/>
      <x:c r="J20" s="34"/>
      <x:c r="K20" s="34"/>
      <x:c r="L20" s="31"/>
    </x:row>
    <x:row r="21" ht="45" customHeight="1">
      <x:c r="A21" s="76"/>
      <x:c r="B21" s="34"/>
      <x:c r="C21" s="34"/>
      <x:c r="D21" s="34"/>
      <x:c r="E21" s="34"/>
      <x:c r="F21" s="34"/>
      <x:c r="G21" s="34"/>
      <x:c r="H21" s="34"/>
      <x:c r="I21" s="34"/>
      <x:c r="J21" s="34"/>
      <x:c r="K21" s="34"/>
      <x:c r="L21" s="31"/>
    </x:row>
    <x:row r="22" ht="45" customHeight="1">
      <x:c r="A22" s="76"/>
      <x:c r="B22" s="34"/>
      <x:c r="C22" s="34"/>
      <x:c r="D22" s="34"/>
      <x:c r="E22" s="34"/>
      <x:c r="F22" s="34"/>
      <x:c r="G22" s="34"/>
      <x:c r="H22" s="34"/>
      <x:c r="I22" s="34"/>
      <x:c r="J22" s="34"/>
      <x:c r="K22" s="34"/>
      <x:c r="L22" s="31"/>
    </x:row>
    <x:row r="23" ht="45" customHeight="1">
      <x:c r="A23" s="76"/>
      <x:c r="B23" s="34"/>
      <x:c r="C23" s="34"/>
      <x:c r="D23" s="34"/>
      <x:c r="E23" s="34"/>
      <x:c r="F23" s="34"/>
      <x:c r="G23" s="34"/>
      <x:c r="H23" s="34"/>
      <x:c r="I23" s="34"/>
      <x:c r="J23" s="34"/>
      <x:c r="K23" s="34"/>
      <x:c r="L23" s="31"/>
    </x:row>
    <x:row r="24" ht="45" customHeight="1">
      <x:c r="A24" s="76"/>
      <x:c r="B24" s="34"/>
      <x:c r="C24" s="34"/>
      <x:c r="D24" s="34"/>
      <x:c r="E24" s="34"/>
      <x:c r="F24" s="34"/>
      <x:c r="G24" s="34"/>
      <x:c r="H24" s="34"/>
      <x:c r="I24" s="34"/>
      <x:c r="J24" s="34"/>
      <x:c r="K24" s="34"/>
      <x:c r="L24" s="31"/>
    </x:row>
    <x:row r="25" ht="45" customHeight="1">
      <x:c r="A25" s="76"/>
      <x:c r="B25" s="34"/>
      <x:c r="C25" s="34"/>
      <x:c r="D25" s="34"/>
      <x:c r="E25" s="34"/>
      <x:c r="F25" s="34"/>
      <x:c r="G25" s="34"/>
      <x:c r="H25" s="34"/>
      <x:c r="I25" s="34"/>
      <x:c r="J25" s="34"/>
      <x:c r="K25" s="34"/>
      <x:c r="L25" s="31"/>
    </x:row>
    <x:row r="26" ht="45" customHeight="1">
      <x:c r="A26" s="76"/>
      <x:c r="B26" s="34"/>
      <x:c r="C26" s="34"/>
      <x:c r="D26" s="34"/>
      <x:c r="E26" s="34"/>
      <x:c r="F26" s="34"/>
      <x:c r="G26" s="34"/>
      <x:c r="H26" s="34"/>
      <x:c r="I26" s="34"/>
      <x:c r="J26" s="34"/>
      <x:c r="K26" s="34"/>
      <x:c r="L26" s="31"/>
    </x:row>
    <x:row r="27" ht="45" customHeight="1">
      <x:c r="A27" s="76"/>
      <x:c r="B27" s="34"/>
      <x:c r="C27" s="34"/>
      <x:c r="D27" s="34"/>
      <x:c r="E27" s="34"/>
      <x:c r="F27" s="34"/>
      <x:c r="G27" s="34"/>
      <x:c r="H27" s="34"/>
      <x:c r="I27" s="34"/>
      <x:c r="J27" s="34"/>
      <x:c r="K27" s="34"/>
      <x:c r="L27" s="31"/>
    </x:row>
    <x:row r="28" ht="45" customHeight="1">
      <x:c r="A28" s="76"/>
      <x:c r="B28" s="34"/>
      <x:c r="C28" s="34"/>
      <x:c r="D28" s="34"/>
      <x:c r="E28" s="34"/>
      <x:c r="F28" s="34"/>
      <x:c r="G28" s="34"/>
      <x:c r="H28" s="34"/>
      <x:c r="I28" s="34"/>
      <x:c r="J28" s="34"/>
      <x:c r="K28" s="34"/>
      <x:c r="L28" s="31"/>
    </x:row>
    <x:row r="29" ht="45" customHeight="1">
      <x:c r="A29" s="76"/>
      <x:c r="B29" s="34"/>
      <x:c r="C29" s="34"/>
      <x:c r="D29" s="34"/>
      <x:c r="E29" s="34"/>
      <x:c r="F29" s="34"/>
      <x:c r="G29" s="34"/>
      <x:c r="H29" s="34"/>
      <x:c r="I29" s="34"/>
      <x:c r="J29" s="34"/>
      <x:c r="K29" s="34"/>
      <x:c r="L29" s="31"/>
    </x:row>
    <x:row r="30" ht="45" customHeight="1">
      <x:c r="A30" s="76"/>
      <x:c r="B30" s="34"/>
      <x:c r="C30" s="34"/>
      <x:c r="D30" s="34"/>
      <x:c r="E30" s="34"/>
      <x:c r="F30" s="34"/>
      <x:c r="G30" s="34"/>
      <x:c r="H30" s="34"/>
      <x:c r="I30" s="34"/>
      <x:c r="J30" s="34"/>
      <x:c r="K30" s="34"/>
      <x:c r="L30" s="31"/>
    </x:row>
    <x:row r="31" ht="45" customHeight="1">
      <x:c r="A31" s="77"/>
      <x:c r="B31" s="35"/>
      <x:c r="C31" s="35"/>
      <x:c r="D31" s="35"/>
      <x:c r="E31" s="35"/>
      <x:c r="F31" s="35"/>
      <x:c r="G31" s="35"/>
      <x:c r="H31" s="35"/>
      <x:c r="I31" s="35"/>
      <x:c r="J31" s="35"/>
      <x:c r="K31" s="35"/>
      <x:c r="L31" s="32"/>
    </x:row>
  </x:sheetData>
  <x:mergeCells>
    <x:mergeCell ref="A1:L1"/>
  </x:mergeCells>
  <x:dataValidations count="1">
    <x:dataValidation type="list" sqref="B4:B31">
      <x:formula1>"月檢討,季考核,年度檢討"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4" hidden="0" customWidth="1"/>
    <x:col min="4" max="4" width="20" hidden="0" customWidth="1"/>
    <x:col min="5" max="5" width="14" hidden="0" customWidth="1"/>
    <x:col min="6" max="6" width="16" hidden="0" customWidth="1"/>
    <x:col min="7" max="7" width="14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4" customHeight="1">
      <x:c r="A1" s="3" t="str">
        <x:v>PGOS 成長儀表板</x:v>
      </x:c>
      <x:c r="B1" s="3" t="str">
        <x:v>PGOS 成長儀表板</x:v>
      </x:c>
      <x:c r="C1" s="3" t="str">
        <x:v>PGOS 成長儀表板</x:v>
      </x:c>
      <x:c r="D1" s="3" t="str">
        <x:v>PGOS 成長儀表板</x:v>
      </x:c>
      <x:c r="E1" s="3" t="str">
        <x:v>PGOS 成長儀表板</x:v>
      </x:c>
      <x:c r="F1" s="3" t="str">
        <x:v>PGOS 成長儀表板</x:v>
      </x:c>
      <x:c r="G1" s="3" t="str">
        <x:v>PGOS 成長儀表板</x:v>
      </x:c>
      <x:c r="H1" s="3" t="str">
        <x:v>PGOS 成長儀表板</x:v>
      </x:c>
      <x:c r="I1" s="3" t="str">
        <x:v>PGOS 成長儀表板</x:v>
      </x:c>
      <x:c r="J1" s="3" t="str">
        <x:v>PGOS 成長儀表板</x:v>
      </x:c>
      <x:c r="K1" s="3" t="str">
        <x:v>PGOS 成長儀表板</x:v>
      </x:c>
      <x:c r="L1" s="3" t="str">
        <x:v>PGOS 成長儀表板</x:v>
      </x:c>
      <x:c r="M1" s="3" t="str">
        <x:v>PGOS 成長儀表板</x:v>
      </x:c>
      <x:c r="N1" s="3" t="str">
        <x:v>PGOS 成長儀表板</x:v>
      </x:c>
    </x:row>
    <x:row r="3" ht="28" customHeight="1">
      <x:c r="A3" s="11" t="str">
        <x:v>核心指標</x:v>
      </x:c>
      <x:c r="B3" s="11" t="str">
        <x:v>目前值</x:v>
      </x:c>
      <x:c r="D3" s="11" t="str">
        <x:v>能力領域</x:v>
      </x:c>
      <x:c r="E3" s="11" t="str">
        <x:v>目前平均</x:v>
      </x:c>
      <x:c r="F3" s="11" t="str">
        <x:v>12月目標平均</x:v>
      </x:c>
    </x:row>
    <x:row r="4">
      <x:c r="A4" s="18" t="str">
        <x:v>已盤點能力數</x:v>
      </x:c>
      <x:c r="B4" s="82" t="n">
        <x:f>COUNT('能力盤點'!D4:D50)</x:f>
        <x:v>0</x:v>
      </x:c>
      <x:c r="D4" s="18" t="str">
        <x:v>思維與決策</x:v>
      </x:c>
      <x:c r="E4" s="92" t="n">
        <x:f>IFERROR(AVERAGEIF('能力盤點'!A4:A50,D4,'能力盤點'!D4:D50),0)</x:f>
        <x:v>0</x:v>
      </x:c>
      <x:c r="F4" s="93" t="n">
        <x:f>IFERROR(AVERAGEIF('能力盤點'!A4:A50,D4,'能力盤點'!E4:E50),0)</x:f>
        <x:v>3</x:v>
      </x:c>
    </x:row>
    <x:row r="5">
      <x:c r="A5" s="20" t="str">
        <x:v>本季優先能力數</x:v>
      </x:c>
      <x:c r="B5" s="83" t="n">
        <x:f>COUNTIF('能力盤點'!I4:I50,"是")</x:f>
        <x:v>0</x:v>
      </x:c>
      <x:c r="D5" s="20" t="str">
        <x:v>ERP與流程</x:v>
      </x:c>
      <x:c r="E5" s="94" t="n">
        <x:f>IFERROR(AVERAGEIF('能力盤點'!A4:A50,D5,'能力盤點'!D4:D50),0)</x:f>
        <x:v>0</x:v>
      </x:c>
      <x:c r="F5" s="95" t="n">
        <x:f>IFERROR(AVERAGEIF('能力盤點'!A4:A50,D5,'能力盤點'!E4:E50),0)</x:f>
        <x:v>3</x:v>
      </x:c>
    </x:row>
    <x:row r="6">
      <x:c r="A6" s="20" t="str">
        <x:v>E3/E4證據數</x:v>
      </x:c>
      <x:c r="B6" s="83" t="n">
        <x:f>COUNTIF('證據紀錄'!E4:E53,"E3")+COUNTIF('證據紀錄'!E4:E53,"E4")</x:f>
        <x:v>0</x:v>
      </x:c>
      <x:c r="D6" s="20" t="str">
        <x:v>資料與AI</x:v>
      </x:c>
      <x:c r="E6" s="94" t="n">
        <x:f>IFERROR(AVERAGEIF('能力盤點'!A4:A50,D6,'能力盤點'!D4:D50),0)</x:f>
        <x:v>0</x:v>
      </x:c>
      <x:c r="F6" s="95" t="n">
        <x:f>IFERROR(AVERAGEIF('能力盤點'!A4:A50,D6,'能力盤點'!E4:E50),0)</x:f>
        <x:v>3</x:v>
      </x:c>
    </x:row>
    <x:row r="7">
      <x:c r="A7" s="20" t="str">
        <x:v>候選／執行專案數</x:v>
      </x:c>
      <x:c r="B7" s="83" t="n">
        <x:f>COUNTIF('專案組合'!L4:L23,"候選")+COUNTIF('專案組合'!L4:L23,"本季執行")</x:f>
        <x:v>0</x:v>
      </x:c>
      <x:c r="D7" s="20" t="str">
        <x:v>顧問能力</x:v>
      </x:c>
      <x:c r="E7" s="94" t="n">
        <x:f>IFERROR(AVERAGEIF('能力盤點'!A4:A50,D7,'能力盤點'!D4:D50),0)</x:f>
        <x:v>0</x:v>
      </x:c>
      <x:c r="F7" s="95" t="n">
        <x:f>IFERROR(AVERAGEIF('能力盤點'!A4:A50,D7,'能力盤點'!E4:E50),0)</x:f>
        <x:v>3</x:v>
      </x:c>
    </x:row>
    <x:row r="8">
      <x:c r="A8" s="20" t="str">
        <x:v>完成專案數</x:v>
      </x:c>
      <x:c r="B8" s="83" t="n">
        <x:f>COUNTIF('專案組合'!L4:L23,"完成")</x:f>
        <x:v>0</x:v>
      </x:c>
      <x:c r="D8" s="20" t="str">
        <x:v>軟實力</x:v>
      </x:c>
      <x:c r="E8" s="94" t="n">
        <x:f>IFERROR(AVERAGEIF('能力盤點'!A4:A50,D8,'能力盤點'!D4:D50),0)</x:f>
        <x:v>0</x:v>
      </x:c>
      <x:c r="F8" s="95" t="n">
        <x:f>IFERROR(AVERAGEIF('能力盤點'!A4:A50,D8,'能力盤點'!E4:E50),0)</x:f>
        <x:v>3</x:v>
      </x:c>
    </x:row>
    <x:row r="9">
      <x:c r="A9" s="20" t="str">
        <x:v>累計實際時數</x:v>
      </x:c>
      <x:c r="B9" s="83" t="n">
        <x:f>SUM('每週執行'!D4:D55)</x:f>
        <x:v>0</x:v>
      </x:c>
      <x:c r="D9" s="20" t="str">
        <x:v>執行與身心</x:v>
      </x:c>
      <x:c r="E9" s="94" t="n">
        <x:f>IFERROR(AVERAGEIF('能力盤點'!A4:A50,D9,'能力盤點'!D4:D50),0)</x:f>
        <x:v>0</x:v>
      </x:c>
      <x:c r="F9" s="95" t="n">
        <x:f>IFERROR(AVERAGEIF('能力盤點'!A4:A50,D9,'能力盤點'!E4:E50),0)</x:f>
        <x:v>3</x:v>
      </x:c>
    </x:row>
    <x:row r="10">
      <x:c r="A10" s="22" t="str">
        <x:v>累計新增資產</x:v>
      </x:c>
      <x:c r="B10" s="84" t="n">
        <x:f>SUM('每週執行'!I4:I55)</x:f>
        <x:v>0</x:v>
      </x:c>
      <x:c r="D10" s="22" t="str">
        <x:v>職涯與市場</x:v>
      </x:c>
      <x:c r="E10" s="96" t="n">
        <x:f>IFERROR(AVERAGEIF('能力盤點'!A4:A50,D10,'能力盤點'!D4:D50),0)</x:f>
        <x:v>0</x:v>
      </x:c>
      <x:c r="F10" s="97" t="n">
        <x:f>IFERROR(AVERAGEIF('能力盤點'!A4:A50,D10,'能力盤點'!E4:E50),0)</x:f>
        <x:v>3</x:v>
      </x:c>
    </x:row>
    <x:row r="13" ht="28" customHeight="1">
      <x:c r="A13" s="11" t="str">
        <x:v>資料品質檢查</x:v>
      </x:c>
      <x:c r="B13" s="11" t="str">
        <x:v>結果</x:v>
      </x:c>
      <x:c r="D13" s="11" t="str">
        <x:v>最近週次</x:v>
      </x:c>
      <x:c r="E13" s="11" t="str">
        <x:v>實際時數</x:v>
      </x:c>
      <x:c r="F13" s="11" t="str">
        <x:v>新增證據</x:v>
      </x:c>
      <x:c r="G13" s="11" t="str">
        <x:v>新增資產</x:v>
      </x:c>
    </x:row>
    <x:row r="14">
      <x:c r="A14" s="18" t="str">
        <x:v>能力未附證據</x:v>
      </x:c>
      <x:c r="B14" s="19" t="n">
        <x:f>COUNTIFS('能力盤點'!D4:D50,"&gt;0",'能力盤點'!J4:J50,"待本人盤點")</x:f>
        <x:v>0</x:v>
      </x:c>
      <x:c r="D14" s="59" t="str">
        <x:f>IF('每週執行'!A4="","",'每週執行'!A4)</x:f>
      </x:c>
      <x:c r="E14" s="27" t="str">
        <x:f>IF('每週執行'!A4="","",'每週執行'!D4)</x:f>
      </x:c>
      <x:c r="F14" s="27" t="str">
        <x:f>IF('每週執行'!A4="","",'每週執行'!H4)</x:f>
      </x:c>
      <x:c r="G14" s="19" t="str">
        <x:f>IF('每週執行'!A4="","",'每週執行'!I4)</x:f>
      </x:c>
    </x:row>
    <x:row r="15">
      <x:c r="A15" s="20" t="str">
        <x:v>未去識別化證據</x:v>
      </x:c>
      <x:c r="B15" s="21" t="n">
        <x:f>COUNTIF('證據紀錄'!K4:K53,"否")</x:f>
        <x:v>0</x:v>
      </x:c>
      <x:c r="D15" s="60" t="str">
        <x:f>IF('每週執行'!A5="","",'每週執行'!A5)</x:f>
      </x:c>
      <x:c r="E15" s="28" t="str">
        <x:f>IF('每週執行'!A5="","",'每週執行'!D5)</x:f>
      </x:c>
      <x:c r="F15" s="28" t="str">
        <x:f>IF('每週執行'!A5="","",'每週執行'!H5)</x:f>
      </x:c>
      <x:c r="G15" s="21" t="str">
        <x:f>IF('每週執行'!A5="","",'每週執行'!I5)</x:f>
      </x:c>
    </x:row>
    <x:row r="16">
      <x:c r="A16" s="20" t="str">
        <x:v>本季優先能力&gt;3</x:v>
      </x:c>
      <x:c r="B16" s="21" t="n">
        <x:f>MAX(0,COUNTIF('能力盤點'!I4:I50,"是")-3)</x:f>
        <x:v>0</x:v>
      </x:c>
      <x:c r="D16" s="60" t="str">
        <x:f>IF('每週執行'!A6="","",'每週執行'!A6)</x:f>
      </x:c>
      <x:c r="E16" s="28" t="str">
        <x:f>IF('每週執行'!A6="","",'每週執行'!D6)</x:f>
      </x:c>
      <x:c r="F16" s="28" t="str">
        <x:f>IF('每週執行'!A6="","",'每週執行'!H6)</x:f>
      </x:c>
      <x:c r="G16" s="21" t="str">
        <x:f>IF('每週執行'!A6="","",'每週執行'!I6)</x:f>
      </x:c>
    </x:row>
    <x:row r="17">
      <x:c r="A17" s="22" t="str">
        <x:v>12週核心成果未填</x:v>
      </x:c>
      <x:c r="B17" s="23" t="n">
        <x:f>IF(OR('12週計畫'!B5="",'12週計畫'!B5="待填寫"),1,0)</x:f>
        <x:v>1</x:v>
      </x:c>
      <x:c r="D17" s="60" t="str">
        <x:f>IF('每週執行'!A7="","",'每週執行'!A7)</x:f>
      </x:c>
      <x:c r="E17" s="28" t="str">
        <x:f>IF('每週執行'!A7="","",'每週執行'!D7)</x:f>
      </x:c>
      <x:c r="F17" s="28" t="str">
        <x:f>IF('每週執行'!A7="","",'每週執行'!H7)</x:f>
      </x:c>
      <x:c r="G17" s="21" t="str">
        <x:f>IF('每週執行'!A7="","",'每週執行'!I7)</x:f>
      </x:c>
    </x:row>
    <x:row r="18">
      <x:c r="D18" s="60" t="str">
        <x:f>IF('每週執行'!A8="","",'每週執行'!A8)</x:f>
      </x:c>
      <x:c r="E18" s="28" t="str">
        <x:f>IF('每週執行'!A8="","",'每週執行'!D8)</x:f>
      </x:c>
      <x:c r="F18" s="28" t="str">
        <x:f>IF('每週執行'!A8="","",'每週執行'!H8)</x:f>
      </x:c>
      <x:c r="G18" s="21" t="str">
        <x:f>IF('每週執行'!A8="","",'每週執行'!I8)</x:f>
      </x:c>
    </x:row>
    <x:row r="19">
      <x:c r="A19" s="58" t="str">
        <x:v>提醒：分數是導航工具，不是人格評價。思維與軟實力以真實情境、外部回饋及長期趨勢判定。</x:v>
      </x:c>
      <x:c r="B19" s="58"/>
      <x:c r="C19" s="58"/>
      <x:c r="D19" s="105" t="str">
        <x:f>IF('每週執行'!A9="","",'每週執行'!A9)</x:f>
      </x:c>
      <x:c r="E19" s="106" t="str">
        <x:f>IF('每週執行'!A9="","",'每週執行'!D9)</x:f>
      </x:c>
      <x:c r="F19" s="106" t="str">
        <x:f>IF('每週執行'!A9="","",'每週執行'!H9)</x:f>
      </x:c>
      <x:c r="G19" s="21" t="str">
        <x:f>IF('每週執行'!A9="","",'每週執行'!I9)</x:f>
      </x:c>
    </x:row>
    <x:row r="20">
      <x:c r="A20" s="58"/>
      <x:c r="B20" s="58"/>
      <x:c r="C20" s="58"/>
      <x:c r="D20" s="105" t="str">
        <x:f>IF('每週執行'!A10="","",'每週執行'!A10)</x:f>
      </x:c>
      <x:c r="E20" s="106" t="str">
        <x:f>IF('每週執行'!A10="","",'每週執行'!D10)</x:f>
      </x:c>
      <x:c r="F20" s="106" t="str">
        <x:f>IF('每週執行'!A10="","",'每週執行'!H10)</x:f>
      </x:c>
      <x:c r="G20" s="21" t="str">
        <x:f>IF('每週執行'!A10="","",'每週執行'!I10)</x:f>
      </x:c>
    </x:row>
    <x:row r="21">
      <x:c r="D21" s="60" t="str">
        <x:f>IF('每週執行'!A11="","",'每週執行'!A11)</x:f>
      </x:c>
      <x:c r="E21" s="28" t="str">
        <x:f>IF('每週執行'!A11="","",'每週執行'!D11)</x:f>
      </x:c>
      <x:c r="F21" s="28" t="str">
        <x:f>IF('每週執行'!A11="","",'每週執行'!H11)</x:f>
      </x:c>
      <x:c r="G21" s="21" t="str">
        <x:f>IF('每週執行'!A11="","",'每週執行'!I11)</x:f>
      </x:c>
    </x:row>
    <x:row r="22">
      <x:c r="D22" s="60" t="str">
        <x:f>IF('每週執行'!A12="","",'每週執行'!A12)</x:f>
      </x:c>
      <x:c r="E22" s="28" t="str">
        <x:f>IF('每週執行'!A12="","",'每週執行'!D12)</x:f>
      </x:c>
      <x:c r="F22" s="28" t="str">
        <x:f>IF('每週執行'!A12="","",'每週執行'!H12)</x:f>
      </x:c>
      <x:c r="G22" s="21" t="str">
        <x:f>IF('每週執行'!A12="","",'每週執行'!I12)</x:f>
      </x:c>
    </x:row>
    <x:row r="23">
      <x:c r="D23" s="60" t="str">
        <x:f>IF('每週執行'!A13="","",'每週執行'!A13)</x:f>
      </x:c>
      <x:c r="E23" s="28" t="str">
        <x:f>IF('每週執行'!A13="","",'每週執行'!D13)</x:f>
      </x:c>
      <x:c r="F23" s="28" t="str">
        <x:f>IF('每週執行'!A13="","",'每週執行'!H13)</x:f>
      </x:c>
      <x:c r="G23" s="21" t="str">
        <x:f>IF('每週執行'!A13="","",'每週執行'!I13)</x:f>
      </x:c>
    </x:row>
    <x:row r="24">
      <x:c r="D24" s="60" t="str">
        <x:f>IF('每週執行'!A14="","",'每週執行'!A14)</x:f>
      </x:c>
      <x:c r="E24" s="28" t="str">
        <x:f>IF('每週執行'!A14="","",'每週執行'!D14)</x:f>
      </x:c>
      <x:c r="F24" s="28" t="str">
        <x:f>IF('每週執行'!A14="","",'每週執行'!H14)</x:f>
      </x:c>
      <x:c r="G24" s="21" t="str">
        <x:f>IF('每週執行'!A14="","",'每週執行'!I14)</x:f>
      </x:c>
    </x:row>
    <x:row r="25">
      <x:c r="D25" s="61" t="str">
        <x:f>IF('每週執行'!A15="","",'每週執行'!A15)</x:f>
      </x:c>
      <x:c r="E25" s="29" t="str">
        <x:f>IF('每週執行'!A15="","",'每週執行'!D15)</x:f>
      </x:c>
      <x:c r="F25" s="29" t="str">
        <x:f>IF('每週執行'!A15="","",'每週執行'!H15)</x:f>
      </x:c>
      <x:c r="G25" s="23" t="str">
        <x:f>IF('每週執行'!A15="","",'每週執行'!I15)</x:f>
      </x:c>
    </x:row>
  </x:sheetData>
  <x:mergeCells>
    <x:mergeCell ref="A1:N1"/>
  </x:mergeCells>
  <x:pageMargins left="0.7" right="0.7" top="0.75" bottom="0.75" header="0.3" footer="0.3"/>
  <x:drawing xmlns:r="http://schemas.openxmlformats.org/officeDocument/2006/relationships" r:id="R706c00f127384ee5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52" hidden="0" customWidth="1"/>
    <x:col min="4" max="4" width="4" hidden="0" customWidth="1"/>
    <x:col min="5" max="5" width="18" hidden="0" customWidth="1"/>
    <x:col min="6" max="6" width="52" hidden="0" customWidth="1"/>
  </x:cols>
  <x:sheetData>
    <x:row r="1" ht="34" customHeight="1">
      <x:c r="A1" s="3" t="str">
        <x:v>評分規則與能力證據定義</x:v>
      </x:c>
      <x:c r="B1" s="3" t="str">
        <x:v>評分規則與能力證據定義</x:v>
      </x:c>
      <x:c r="C1" s="3" t="str">
        <x:v>評分規則與能力證據定義</x:v>
      </x:c>
      <x:c r="D1" s="3" t="str">
        <x:v>評分規則與能力證據定義</x:v>
      </x:c>
      <x:c r="E1" s="3" t="str">
        <x:v>評分規則與能力證據定義</x:v>
      </x:c>
      <x:c r="F1" s="3" t="str">
        <x:v>評分規則與能力證據定義</x:v>
      </x:c>
    </x:row>
    <x:row r="3" ht="28" customHeight="1">
      <x:c r="A3" s="11" t="str">
        <x:v>能力等級</x:v>
      </x:c>
      <x:c r="B3" s="11" t="str">
        <x:v>名稱</x:v>
      </x:c>
      <x:c r="C3" s="11" t="str">
        <x:v>判定標準</x:v>
      </x:c>
      <x:c r="E3" s="11" t="str">
        <x:v>七大領域</x:v>
      </x:c>
      <x:c r="F3" s="11" t="str">
        <x:v>說明</x:v>
      </x:c>
    </x:row>
    <x:row r="4">
      <x:c r="A4" s="18" t="n">
        <x:v>0</x:v>
      </x:c>
      <x:c r="B4" s="27" t="str">
        <x:v>尚未理解</x:v>
      </x:c>
      <x:c r="C4" s="19" t="str">
        <x:v>無法辨識或說明</x:v>
      </x:c>
      <x:c r="E4" s="18" t="str">
        <x:v>思維與決策</x:v>
      </x:c>
      <x:c r="F4" s="19" t="str">
        <x:v>如何辨識、推理、取捨及復盤</x:v>
      </x:c>
    </x:row>
    <x:row r="5">
      <x:c r="A5" s="20" t="n">
        <x:v>1</x:v>
      </x:c>
      <x:c r="B5" s="28" t="str">
        <x:v>能說明</x:v>
      </x:c>
      <x:c r="C5" s="21" t="str">
        <x:v>可說明概念，尚無法穩定使用</x:v>
      </x:c>
      <x:c r="E5" s="20" t="str">
        <x:v>ERP與流程</x:v>
      </x:c>
      <x:c r="F5" s="21" t="str">
        <x:v>企業流程、資料、制度與系統</x:v>
      </x:c>
    </x:row>
    <x:row r="6">
      <x:c r="A6" s="20" t="n">
        <x:v>2</x:v>
      </x:c>
      <x:c r="B6" s="28" t="str">
        <x:v>能協作完成</x:v>
      </x:c>
      <x:c r="C6" s="21" t="str">
        <x:v>在模板、AI或他人提醒下完成</x:v>
      </x:c>
      <x:c r="E6" s="20" t="str">
        <x:v>資料與AI</x:v>
      </x:c>
      <x:c r="F6" s="21" t="str">
        <x:v>資料分析、AI、整合與自動化</x:v>
      </x:c>
    </x:row>
    <x:row r="7">
      <x:c r="A7" s="20" t="n">
        <x:v>3</x:v>
      </x:c>
      <x:c r="B7" s="28" t="str">
        <x:v>能獨立完成</x:v>
      </x:c>
      <x:c r="C7" s="21" t="str">
        <x:v>一般真實情境可獨立完成</x:v>
      </x:c>
      <x:c r="E7" s="20" t="str">
        <x:v>顧問能力</x:v>
      </x:c>
      <x:c r="F7" s="21" t="str">
        <x:v>訪談、診斷、設計及導入</x:v>
      </x:c>
    </x:row>
    <x:row r="8">
      <x:c r="A8" s="20" t="n">
        <x:v>4</x:v>
      </x:c>
      <x:c r="B8" s="28" t="str">
        <x:v>能處理例外</x:v>
      </x:c>
      <x:c r="C8" s="21" t="str">
        <x:v>複雜、高壓或例外情境仍有效</x:v>
      </x:c>
      <x:c r="E8" s="20" t="str">
        <x:v>軟實力</x:v>
      </x:c>
      <x:c r="F8" s="21" t="str">
        <x:v>溝通、關係、協作與影響</x:v>
      </x:c>
    </x:row>
    <x:row r="9">
      <x:c r="A9" s="22" t="n">
        <x:v>5</x:v>
      </x:c>
      <x:c r="B9" s="29" t="str">
        <x:v>能建立方法</x:v>
      </x:c>
      <x:c r="C9" s="23" t="str">
        <x:v>可教導他人並持續改善方法</x:v>
      </x:c>
      <x:c r="E9" s="20" t="str">
        <x:v>執行與身心</x:v>
      </x:c>
      <x:c r="F9" s="21" t="str">
        <x:v>專注、韌性、壓力與持續學習</x:v>
      </x:c>
    </x:row>
    <x:row r="10">
      <x:c r="E10" s="22" t="str">
        <x:v>職涯與市場</x:v>
      </x:c>
      <x:c r="F10" s="23" t="str">
        <x:v>作品、方法、聲譽與選擇權</x:v>
      </x:c>
    </x:row>
    <x:row r="12" ht="28" customHeight="1">
      <x:c r="A12" s="11" t="str">
        <x:v>證據等級</x:v>
      </x:c>
      <x:c r="B12" s="11" t="str">
        <x:v>名稱</x:v>
      </x:c>
      <x:c r="C12" s="11" t="str">
        <x:v>例子</x:v>
      </x:c>
    </x:row>
    <x:row r="13">
      <x:c r="A13" s="18" t="str">
        <x:v>E0</x:v>
      </x:c>
      <x:c r="B13" s="27" t="str">
        <x:v>無證據</x:v>
      </x:c>
      <x:c r="C13" s="19" t="str">
        <x:v>純自我感覺</x:v>
      </x:c>
    </x:row>
    <x:row r="14">
      <x:c r="A14" s="20" t="str">
        <x:v>E1</x:v>
      </x:c>
      <x:c r="B14" s="28" t="str">
        <x:v>知識證據</x:v>
      </x:c>
      <x:c r="C14" s="21" t="str">
        <x:v>筆記、測驗、概念說明</x:v>
      </x:c>
    </x:row>
    <x:row r="15">
      <x:c r="A15" s="20" t="str">
        <x:v>E2</x:v>
      </x:c>
      <x:c r="B15" s="28" t="str">
        <x:v>模擬證據</x:v>
      </x:c>
      <x:c r="C15" s="21" t="str">
        <x:v>練習、模擬案例</x:v>
      </x:c>
    </x:row>
    <x:row r="16">
      <x:c r="A16" s="20" t="str">
        <x:v>E3</x:v>
      </x:c>
      <x:c r="B16" s="28" t="str">
        <x:v>實戰證據</x:v>
      </x:c>
      <x:c r="C16" s="21" t="str">
        <x:v>真實專案交付物</x:v>
      </x:c>
    </x:row>
    <x:row r="17">
      <x:c r="A17" s="22" t="str">
        <x:v>E4</x:v>
      </x:c>
      <x:c r="B17" s="29" t="str">
        <x:v>結果證據</x:v>
      </x:c>
      <x:c r="C17" s="23" t="str">
        <x:v>時間、品質、採用或外部成果</x:v>
      </x:c>
    </x:row>
  </x:sheetData>
  <x:mergeCells>
    <x:mergeCell ref="A1:F1"/>
  </x:mergeCells>
  <x:pageMargins left="0.7" right="0.7" top="0.75" bottom="0.75" header="0.3" footer="0.3"/>
</x:worksheet>
</file>