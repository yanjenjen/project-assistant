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erry/Downloads/"/>
    </mc:Choice>
  </mc:AlternateContent>
  <xr:revisionPtr revIDLastSave="0" documentId="13_ncr:1_{07C15389-A376-1C45-BD6C-2902AAF60D33}" xr6:coauthVersionLast="47" xr6:coauthVersionMax="47" xr10:uidLastSave="{00000000-0000-0000-0000-000000000000}"/>
  <bookViews>
    <workbookView xWindow="1220" yWindow="2660" windowWidth="27580" windowHeight="15340" tabRatio="886" activeTab="2" xr2:uid="{00000000-000D-0000-FFFF-FFFF00000000}"/>
  </bookViews>
  <sheets>
    <sheet name="清單列表" sheetId="28" r:id="rId1"/>
    <sheet name="Template" sheetId="8" r:id="rId2"/>
    <sheet name="BCF_CaseUser_Disease" sheetId="46" r:id="rId3"/>
    <sheet name="BCF_CaseTestReport_D" sheetId="38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6" l="1"/>
  <c r="B5" i="38"/>
  <c r="B5" i="8"/>
  <c r="B3" i="8"/>
  <c r="B4" i="38"/>
  <c r="B4" i="8"/>
  <c r="B3" i="38"/>
  <c r="B3" i="46"/>
  <c r="B4" i="46"/>
</calcChain>
</file>

<file path=xl/sharedStrings.xml><?xml version="1.0" encoding="utf-8"?>
<sst xmlns="http://schemas.openxmlformats.org/spreadsheetml/2006/main" count="205" uniqueCount="88">
  <si>
    <t>資料表名稱(中文)</t>
  </si>
  <si>
    <t>填表人</t>
  </si>
  <si>
    <t>RodHsu</t>
  </si>
  <si>
    <t>Table Name</t>
  </si>
  <si>
    <t>Primary Key</t>
  </si>
  <si>
    <t>Foreign Key</t>
  </si>
  <si>
    <t>欄位名稱</t>
  </si>
  <si>
    <t>中文名稱</t>
  </si>
  <si>
    <t>型態</t>
  </si>
  <si>
    <t>長度</t>
  </si>
  <si>
    <t>鍵值</t>
  </si>
  <si>
    <t>空值</t>
  </si>
  <si>
    <t>Identity</t>
  </si>
  <si>
    <t>預設值</t>
  </si>
  <si>
    <t>說明</t>
  </si>
  <si>
    <t>備註</t>
  </si>
  <si>
    <t>NVARCHAR</t>
  </si>
  <si>
    <t>Memo</t>
  </si>
  <si>
    <t>UUID</t>
    <phoneticPr fontId="8" type="noConversion"/>
  </si>
  <si>
    <t>索引編號</t>
    <phoneticPr fontId="8" type="noConversion"/>
  </si>
  <si>
    <t>類別</t>
  </si>
  <si>
    <t>類別</t>
    <phoneticPr fontId="8" type="noConversion"/>
  </si>
  <si>
    <t>PK</t>
    <phoneticPr fontId="8" type="noConversion"/>
  </si>
  <si>
    <t>CreatedDate</t>
    <phoneticPr fontId="8" type="noConversion"/>
  </si>
  <si>
    <t>CreatedBy</t>
    <phoneticPr fontId="8" type="noConversion"/>
  </si>
  <si>
    <t>UpdatedDate</t>
    <phoneticPr fontId="8" type="noConversion"/>
  </si>
  <si>
    <t>UpdatedBy</t>
    <phoneticPr fontId="8" type="noConversion"/>
  </si>
  <si>
    <t>建立日期</t>
    <phoneticPr fontId="8" type="noConversion"/>
  </si>
  <si>
    <t>建立用戶</t>
    <phoneticPr fontId="8" type="noConversion"/>
  </si>
  <si>
    <t>更新日期</t>
    <phoneticPr fontId="8" type="noConversion"/>
  </si>
  <si>
    <t>更新用戶</t>
    <phoneticPr fontId="8" type="noConversion"/>
  </si>
  <si>
    <t>DATETIME2</t>
    <phoneticPr fontId="8" type="noConversion"/>
  </si>
  <si>
    <t>UNIQUEIDENTIFIER</t>
  </si>
  <si>
    <t>NEWID()</t>
    <phoneticPr fontId="8" type="noConversion"/>
  </si>
  <si>
    <t>Table</t>
  </si>
  <si>
    <t>結構</t>
    <phoneticPr fontId="8" type="noConversion"/>
  </si>
  <si>
    <t>BCF</t>
    <phoneticPr fontId="8" type="noConversion"/>
  </si>
  <si>
    <t>UNIQUEIDENTIFIER</t>
    <phoneticPr fontId="8" type="noConversion"/>
  </si>
  <si>
    <t>範本</t>
    <phoneticPr fontId="8" type="noConversion"/>
  </si>
  <si>
    <t>Memo</t>
    <phoneticPr fontId="8" type="noConversion"/>
  </si>
  <si>
    <t>M_UUID</t>
    <phoneticPr fontId="8" type="noConversion"/>
  </si>
  <si>
    <t>頭檔索引</t>
    <phoneticPr fontId="8" type="noConversion"/>
  </si>
  <si>
    <t>_M 索引編號</t>
    <phoneticPr fontId="8" type="noConversion"/>
  </si>
  <si>
    <t>FK</t>
    <phoneticPr fontId="8" type="noConversion"/>
  </si>
  <si>
    <t>FK</t>
    <phoneticPr fontId="8" type="noConversion"/>
  </si>
  <si>
    <t>資料表名稱</t>
  </si>
  <si>
    <t>結構</t>
  </si>
  <si>
    <t>清單列表</t>
    <phoneticPr fontId="8" type="noConversion"/>
  </si>
  <si>
    <t>BCF</t>
  </si>
  <si>
    <t>MAX</t>
    <phoneticPr fontId="8" type="noConversion"/>
  </si>
  <si>
    <t>BCF_CaseUser.UUID</t>
    <phoneticPr fontId="8" type="noConversion"/>
  </si>
  <si>
    <t>TestTime_Start</t>
    <phoneticPr fontId="8" type="noConversion"/>
  </si>
  <si>
    <t>TestTime_End</t>
    <phoneticPr fontId="8" type="noConversion"/>
  </si>
  <si>
    <t>測試時間_開始</t>
    <phoneticPr fontId="8" type="noConversion"/>
  </si>
  <si>
    <t>測試時間_結束</t>
    <phoneticPr fontId="8" type="noConversion"/>
  </si>
  <si>
    <t>取對應身檔最小時間</t>
    <phoneticPr fontId="8" type="noConversion"/>
  </si>
  <si>
    <t>取對應身檔最大時間</t>
    <phoneticPr fontId="8" type="noConversion"/>
  </si>
  <si>
    <t>個案測試報告_身</t>
    <phoneticPr fontId="8" type="noConversion"/>
  </si>
  <si>
    <t>個案索引</t>
    <phoneticPr fontId="8" type="noConversion"/>
  </si>
  <si>
    <t>TestItem_UUID</t>
    <phoneticPr fontId="8" type="noConversion"/>
  </si>
  <si>
    <t>BCF_TestItemSettings.UUID</t>
    <phoneticPr fontId="8" type="noConversion"/>
  </si>
  <si>
    <t>測試索引</t>
    <phoneticPr fontId="8" type="noConversion"/>
  </si>
  <si>
    <t>測試人員</t>
    <phoneticPr fontId="8" type="noConversion"/>
  </si>
  <si>
    <t>登記人員</t>
    <phoneticPr fontId="8" type="noConversion"/>
  </si>
  <si>
    <t>Testers</t>
    <phoneticPr fontId="8" type="noConversion"/>
  </si>
  <si>
    <t>Registrar</t>
    <phoneticPr fontId="8" type="noConversion"/>
  </si>
  <si>
    <t>TestResults</t>
    <phoneticPr fontId="8" type="noConversion"/>
  </si>
  <si>
    <t>測試結果</t>
    <phoneticPr fontId="8" type="noConversion"/>
  </si>
  <si>
    <t>NVARCHAR</t>
    <phoneticPr fontId="8" type="noConversion"/>
  </si>
  <si>
    <t>KeyValue的JSON檔</t>
    <phoneticPr fontId="8" type="noConversion"/>
  </si>
  <si>
    <t>TestReport</t>
    <phoneticPr fontId="8" type="noConversion"/>
  </si>
  <si>
    <t>測試報告</t>
    <phoneticPr fontId="8" type="noConversion"/>
  </si>
  <si>
    <t>Suggestions</t>
    <phoneticPr fontId="8" type="noConversion"/>
  </si>
  <si>
    <t>建議事項</t>
    <phoneticPr fontId="8" type="noConversion"/>
  </si>
  <si>
    <t>專業人員對此次報告的建議書</t>
    <phoneticPr fontId="8" type="noConversion"/>
  </si>
  <si>
    <t>N</t>
    <phoneticPr fontId="8" type="noConversion"/>
  </si>
  <si>
    <t>BCF_CaseTestReport_D</t>
  </si>
  <si>
    <t>個案測試報告_身</t>
  </si>
  <si>
    <t>CaseUser_UUID</t>
    <phoneticPr fontId="8" type="noConversion"/>
  </si>
  <si>
    <t>Status</t>
    <phoneticPr fontId="8" type="noConversion"/>
  </si>
  <si>
    <t>個案用戶_疾病</t>
  </si>
  <si>
    <t>個案用戶_疾病</t>
    <phoneticPr fontId="8" type="noConversion"/>
  </si>
  <si>
    <t>BCF_ResDiseaseList.UUID</t>
    <phoneticPr fontId="8" type="noConversion"/>
  </si>
  <si>
    <t>Disease_UUID</t>
    <phoneticPr fontId="8" type="noConversion"/>
  </si>
  <si>
    <t>疾病索引</t>
    <phoneticPr fontId="8" type="noConversion"/>
  </si>
  <si>
    <t>狀態值</t>
    <phoneticPr fontId="8" type="noConversion"/>
  </si>
  <si>
    <t>通常為是:Y 否:N</t>
    <phoneticPr fontId="8" type="noConversion"/>
  </si>
  <si>
    <t>BCF_CaseUser_Disease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</si>
</sst>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"/>
      <color rgb="FF000000"/>
      <name val="Arial"/>
    </font>
    <font>
      <b/>
      <sz val="12"/>
      <color theme="1"/>
      <name val="Microsoft JhengHei"/>
      <family val="2"/>
      <charset val="136"/>
    </font>
    <font>
      <sz val="10"/>
      <name val="Arial"/>
      <family val="2"/>
    </font>
    <font>
      <sz val="12"/>
      <color theme="1"/>
      <name val="Microsoft JhengHei"/>
      <family val="2"/>
      <charset val="136"/>
    </font>
    <font>
      <b/>
      <sz val="12"/>
      <color rgb="FF000000"/>
      <name val="Microsoft JhengHei"/>
      <family val="2"/>
      <charset val="136"/>
    </font>
    <font>
      <sz val="12"/>
      <color rgb="FF000000"/>
      <name val="Microsoft JhengHei"/>
      <family val="2"/>
      <charset val="136"/>
    </font>
    <font>
      <sz val="12"/>
      <color theme="1"/>
      <name val="Calibri"/>
      <family val="2"/>
    </font>
    <font>
      <sz val="12"/>
      <name val="Calibri"/>
      <family val="2"/>
    </font>
    <font>
      <sz val="9"/>
      <name val="細明體"/>
      <family val="3"/>
      <charset val="136"/>
    </font>
    <font>
      <sz val="10"/>
      <name val="Microsoft JhengHei Light"/>
      <family val="2"/>
      <charset val="136"/>
    </font>
    <font>
      <u/>
      <sz val="10"/>
      <color theme="10"/>
      <name val="Arial"/>
      <family val="2"/>
    </font>
    <font>
      <u/>
      <sz val="12"/>
      <color theme="10"/>
      <name val="Microsoft JhengHei"/>
      <family val="2"/>
    </font>
    <font>
      <b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49" fontId="3" fillId="0" borderId="0" xfId="0" applyNumberFormat="1" applyFont="1" applyAlignment="1">
      <alignment vertical="center"/>
    </xf>
    <xf numFmtId="49" fontId="4" fillId="2" borderId="4" xfId="0" applyNumberFormat="1" applyFont="1" applyFill="1" applyBorder="1" applyAlignment="1">
      <alignment horizontal="center" vertical="center" wrapText="1"/>
    </xf>
    <xf numFmtId="49" fontId="4" fillId="2" borderId="5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left" vertical="center" wrapText="1"/>
    </xf>
    <xf numFmtId="49" fontId="6" fillId="0" borderId="0" xfId="0" applyNumberFormat="1" applyFont="1"/>
    <xf numFmtId="49" fontId="6" fillId="0" borderId="6" xfId="0" applyNumberFormat="1" applyFont="1" applyBorder="1"/>
    <xf numFmtId="49" fontId="7" fillId="0" borderId="6" xfId="0" applyNumberFormat="1" applyFont="1" applyBorder="1"/>
    <xf numFmtId="49" fontId="7" fillId="0" borderId="0" xfId="0" applyNumberFormat="1" applyFont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49" fontId="5" fillId="0" borderId="0" xfId="0" applyNumberFormat="1" applyFont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0" xfId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F7749-C829-4EC0-8C81-D0424F369B19}">
  <sheetPr codeName="工作表8">
    <tabColor rgb="FFFFC000"/>
  </sheetPr>
  <dimension ref="A1:E3"/>
  <sheetViews>
    <sheetView zoomScale="130" zoomScaleNormal="130" workbookViewId="0">
      <selection activeCell="C6" sqref="C6"/>
    </sheetView>
  </sheetViews>
  <sheetFormatPr baseColWidth="10" defaultColWidth="8.83203125" defaultRowHeight="20" customHeight="1"/>
  <cols>
    <col min="1" max="2" width="15.83203125" style="24" customWidth="1"/>
    <col min="3" max="4" width="30.83203125" style="24" customWidth="1"/>
    <col min="5" max="5" width="15.83203125" style="24" customWidth="1"/>
  </cols>
  <sheetData>
    <row r="1" spans="1:5" s="28" customFormat="1" ht="20" customHeight="1">
      <c r="A1" s="27" t="s">
        <v>20</v>
      </c>
      <c r="B1" s="27" t="s">
        <v>46</v>
      </c>
      <c r="C1" s="27" t="s">
        <v>3</v>
      </c>
      <c r="D1" s="27" t="s">
        <v>45</v>
      </c>
      <c r="E1" s="27" t="s">
        <v>1</v>
      </c>
    </row>
    <row r="2" spans="1:5" ht="20" customHeight="1">
      <c r="A2" s="24" t="s">
        <v>34</v>
      </c>
      <c r="B2" s="24" t="s">
        <v>48</v>
      </c>
      <c r="C2" s="25" t="s">
        <v>87</v>
      </c>
      <c r="D2" s="24" t="s">
        <v>80</v>
      </c>
      <c r="E2" s="24" t="s">
        <v>2</v>
      </c>
    </row>
    <row r="3" spans="1:5" ht="20" customHeight="1">
      <c r="A3" s="24" t="s">
        <v>34</v>
      </c>
      <c r="B3" s="24" t="s">
        <v>48</v>
      </c>
      <c r="C3" s="25" t="s">
        <v>76</v>
      </c>
      <c r="D3" s="24" t="s">
        <v>77</v>
      </c>
      <c r="E3" s="24" t="s">
        <v>2</v>
      </c>
    </row>
  </sheetData>
  <phoneticPr fontId="8" type="noConversion"/>
  <hyperlinks>
    <hyperlink ref="C2" location="'BCF_CaseUser_Disease'!A1" display="BCF_CaseUser_Disease" xr:uid="{63E4F7F0-49D3-6548-A9A4-C1EA540B06E9}"/>
    <hyperlink ref="C3" location="'BCF_CaseTestReport_D'!A1" display="BCF_CaseTestReport_D" xr:uid="{EF473E6C-FAC2-6F4D-B4EE-C17021B250B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/>
  </sheetPr>
  <dimension ref="A1:Z918"/>
  <sheetViews>
    <sheetView zoomScaleNormal="100" workbookViewId="0">
      <pane ySplit="7" topLeftCell="A8" activePane="bottomLeft" state="frozen"/>
      <selection activeCell="B45" sqref="B45"/>
      <selection pane="bottomLeft" activeCell="B4" sqref="B4:J5"/>
    </sheetView>
  </sheetViews>
  <sheetFormatPr baseColWidth="10" defaultColWidth="14.5" defaultRowHeight="17.5" customHeight="1"/>
  <cols>
    <col min="1" max="2" width="21.5" customWidth="1"/>
    <col min="3" max="3" width="25.6640625" customWidth="1"/>
    <col min="4" max="4" width="8.33203125" customWidth="1"/>
    <col min="5" max="5" width="10.6640625" customWidth="1"/>
    <col min="6" max="6" width="7.6640625" customWidth="1"/>
    <col min="7" max="8" width="10.6640625" customWidth="1"/>
    <col min="9" max="9" width="22.6640625" customWidth="1"/>
    <col min="10" max="10" width="9" customWidth="1"/>
    <col min="11" max="26" width="8.6640625" customWidth="1"/>
  </cols>
  <sheetData>
    <row r="1" spans="1:26" ht="17.5" customHeight="1">
      <c r="A1" s="26" t="s">
        <v>47</v>
      </c>
    </row>
    <row r="2" spans="1:26" ht="17.5" customHeight="1">
      <c r="A2" s="12" t="s">
        <v>0</v>
      </c>
      <c r="B2" s="32" t="s">
        <v>38</v>
      </c>
      <c r="C2" s="33"/>
      <c r="D2" s="33"/>
      <c r="E2" s="34"/>
      <c r="F2" s="14" t="s">
        <v>1</v>
      </c>
      <c r="G2" s="35" t="s">
        <v>2</v>
      </c>
      <c r="H2" s="36"/>
      <c r="I2" s="15" t="s">
        <v>21</v>
      </c>
      <c r="J2" s="16" t="s">
        <v>34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7.5" customHeight="1">
      <c r="A3" s="13" t="s">
        <v>3</v>
      </c>
      <c r="B3" s="32" t="str">
        <f>GetCurrentSheetName()</f>
        <v>Template</v>
      </c>
      <c r="C3" s="37"/>
      <c r="D3" s="37"/>
      <c r="E3" s="37"/>
      <c r="F3" s="15" t="s">
        <v>35</v>
      </c>
      <c r="G3" s="35" t="s">
        <v>36</v>
      </c>
      <c r="H3" s="36"/>
      <c r="I3" s="22"/>
      <c r="J3" s="23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7.5" customHeight="1">
      <c r="A4" s="13" t="s">
        <v>4</v>
      </c>
      <c r="B4" s="29" t="str">
        <f>GetCurrentSheetPK()</f>
        <v>UUID</v>
      </c>
      <c r="C4" s="33"/>
      <c r="D4" s="33"/>
      <c r="E4" s="33"/>
      <c r="F4" s="33"/>
      <c r="G4" s="33"/>
      <c r="H4" s="33"/>
      <c r="I4" s="33"/>
      <c r="J4" s="3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7.5" customHeight="1">
      <c r="A5" s="13" t="s">
        <v>5</v>
      </c>
      <c r="B5" s="29" t="str">
        <f>GetCurrentSheetFK()</f>
        <v>CreatedBy, UpdatedBy</v>
      </c>
      <c r="C5" s="33"/>
      <c r="D5" s="33"/>
      <c r="E5" s="33"/>
      <c r="F5" s="33"/>
      <c r="G5" s="33"/>
      <c r="H5" s="33"/>
      <c r="I5" s="33"/>
      <c r="J5" s="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7.5" customHeight="1">
      <c r="A6" s="13" t="s">
        <v>39</v>
      </c>
      <c r="B6" s="29"/>
      <c r="C6" s="30"/>
      <c r="D6" s="30"/>
      <c r="E6" s="30"/>
      <c r="F6" s="30"/>
      <c r="G6" s="30"/>
      <c r="H6" s="30"/>
      <c r="I6" s="30"/>
      <c r="J6" s="3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7.5" customHeight="1">
      <c r="A7" s="2" t="s">
        <v>6</v>
      </c>
      <c r="B7" s="3" t="s">
        <v>7</v>
      </c>
      <c r="C7" s="3" t="s">
        <v>8</v>
      </c>
      <c r="D7" s="3" t="s">
        <v>9</v>
      </c>
      <c r="E7" s="3" t="s">
        <v>10</v>
      </c>
      <c r="F7" s="3" t="s">
        <v>11</v>
      </c>
      <c r="G7" s="3" t="s">
        <v>12</v>
      </c>
      <c r="H7" s="3" t="s">
        <v>13</v>
      </c>
      <c r="I7" s="3" t="s">
        <v>14</v>
      </c>
      <c r="J7" s="3" t="s">
        <v>15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7.5" customHeight="1">
      <c r="A8" s="4" t="s">
        <v>18</v>
      </c>
      <c r="B8" s="4" t="s">
        <v>19</v>
      </c>
      <c r="C8" s="5" t="s">
        <v>32</v>
      </c>
      <c r="D8" s="21"/>
      <c r="E8" s="5" t="s">
        <v>22</v>
      </c>
      <c r="F8" s="6"/>
      <c r="G8" s="6"/>
      <c r="H8" s="6" t="s">
        <v>33</v>
      </c>
      <c r="I8" s="7"/>
      <c r="J8" s="7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7.5" customHeight="1">
      <c r="A9" s="4"/>
      <c r="B9" s="4"/>
      <c r="C9" s="5"/>
      <c r="D9" s="21"/>
      <c r="E9" s="6"/>
      <c r="F9" s="6"/>
      <c r="G9" s="6"/>
      <c r="H9" s="6"/>
      <c r="I9" s="7"/>
      <c r="J9" s="7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7.5" customHeight="1">
      <c r="A10" s="4"/>
      <c r="B10" s="4"/>
      <c r="C10" s="5"/>
      <c r="D10" s="21"/>
      <c r="E10" s="6"/>
      <c r="F10" s="6"/>
      <c r="G10" s="6"/>
      <c r="H10" s="5"/>
      <c r="I10" s="4"/>
      <c r="J10" s="7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7.5" customHeight="1">
      <c r="A11" s="4"/>
      <c r="B11" s="4"/>
      <c r="C11" s="5"/>
      <c r="D11" s="21"/>
      <c r="E11" s="6"/>
      <c r="F11" s="6"/>
      <c r="G11" s="6"/>
      <c r="H11" s="5"/>
      <c r="I11" s="7"/>
      <c r="J11" s="7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7.5" customHeight="1">
      <c r="A12" s="4"/>
      <c r="B12" s="4"/>
      <c r="C12" s="5"/>
      <c r="D12" s="21"/>
      <c r="E12" s="6"/>
      <c r="F12" s="6"/>
      <c r="G12" s="6"/>
      <c r="H12" s="5"/>
      <c r="I12" s="7"/>
      <c r="J12" s="7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ht="17.5" customHeight="1">
      <c r="A13" s="4"/>
      <c r="B13" s="4"/>
      <c r="C13" s="5"/>
      <c r="D13" s="21"/>
      <c r="E13" s="6"/>
      <c r="F13" s="6"/>
      <c r="G13" s="6"/>
      <c r="H13" s="6"/>
      <c r="I13" s="7"/>
      <c r="J13" s="7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7.5" customHeight="1">
      <c r="A14" s="4"/>
      <c r="B14" s="4"/>
      <c r="C14" s="5"/>
      <c r="D14" s="21"/>
      <c r="E14" s="6"/>
      <c r="F14" s="6"/>
      <c r="G14" s="6"/>
      <c r="H14" s="5"/>
      <c r="I14" s="7"/>
      <c r="J14" s="7"/>
      <c r="K14" s="9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ht="17.5" customHeight="1">
      <c r="A15" s="4"/>
      <c r="B15" s="4"/>
      <c r="C15" s="5"/>
      <c r="D15" s="21"/>
      <c r="E15" s="6"/>
      <c r="F15" s="6"/>
      <c r="G15" s="6"/>
      <c r="H15" s="5"/>
      <c r="I15" s="7"/>
      <c r="J15" s="7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7.5" customHeight="1">
      <c r="A16" s="4"/>
      <c r="B16" s="4"/>
      <c r="C16" s="5"/>
      <c r="D16" s="21"/>
      <c r="E16" s="6"/>
      <c r="F16" s="6"/>
      <c r="G16" s="6"/>
      <c r="H16" s="6"/>
      <c r="I16" s="7"/>
      <c r="J16" s="7"/>
      <c r="K16" s="9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ht="17.5" customHeight="1">
      <c r="A17" s="4"/>
      <c r="B17" s="4"/>
      <c r="C17" s="5"/>
      <c r="D17" s="21"/>
      <c r="E17" s="6"/>
      <c r="F17" s="6"/>
      <c r="G17" s="6"/>
      <c r="H17" s="6"/>
      <c r="I17" s="7"/>
      <c r="J17" s="7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ht="17.5" customHeight="1">
      <c r="A18" s="4" t="s">
        <v>17</v>
      </c>
      <c r="B18" s="4" t="s">
        <v>15</v>
      </c>
      <c r="C18" s="5" t="s">
        <v>16</v>
      </c>
      <c r="D18" s="21">
        <v>500</v>
      </c>
      <c r="E18" s="6"/>
      <c r="F18" s="6"/>
      <c r="G18" s="6"/>
      <c r="H18" s="5"/>
      <c r="I18" s="7"/>
      <c r="J18" s="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7.5" customHeight="1">
      <c r="A19" s="4" t="s">
        <v>23</v>
      </c>
      <c r="B19" s="4" t="s">
        <v>27</v>
      </c>
      <c r="C19" s="5" t="s">
        <v>31</v>
      </c>
      <c r="D19" s="21">
        <v>7</v>
      </c>
      <c r="E19" s="6"/>
      <c r="F19" s="6"/>
      <c r="G19" s="6"/>
      <c r="H19" s="6"/>
      <c r="I19" s="7"/>
      <c r="J19" s="7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7.5" customHeight="1">
      <c r="A20" s="4" t="s">
        <v>24</v>
      </c>
      <c r="B20" s="4" t="s">
        <v>28</v>
      </c>
      <c r="C20" s="5" t="s">
        <v>32</v>
      </c>
      <c r="D20" s="21"/>
      <c r="E20" s="5" t="s">
        <v>44</v>
      </c>
      <c r="F20" s="6"/>
      <c r="G20" s="6"/>
      <c r="H20" s="6"/>
      <c r="I20" s="7"/>
      <c r="J20" s="7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7.5" customHeight="1">
      <c r="A21" s="4" t="s">
        <v>25</v>
      </c>
      <c r="B21" s="4" t="s">
        <v>29</v>
      </c>
      <c r="C21" s="5" t="s">
        <v>31</v>
      </c>
      <c r="D21" s="21">
        <v>7</v>
      </c>
      <c r="E21" s="6"/>
      <c r="F21" s="6"/>
      <c r="G21" s="6"/>
      <c r="H21" s="5"/>
      <c r="I21" s="4"/>
      <c r="J21" s="7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7.5" customHeight="1">
      <c r="A22" s="4" t="s">
        <v>26</v>
      </c>
      <c r="B22" s="4" t="s">
        <v>30</v>
      </c>
      <c r="C22" s="5" t="s">
        <v>37</v>
      </c>
      <c r="D22" s="21"/>
      <c r="E22" s="5" t="s">
        <v>44</v>
      </c>
      <c r="F22" s="6"/>
      <c r="G22" s="6"/>
      <c r="H22" s="5"/>
      <c r="I22" s="4"/>
      <c r="J22" s="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7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7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7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7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7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7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7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7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7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7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7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7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7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7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7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7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7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7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7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7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7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7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7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7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7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7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7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7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7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7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7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7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7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7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7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7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7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7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7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7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7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7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7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7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7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7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7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7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7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7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7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7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7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7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7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7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7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7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7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7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7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7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7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7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7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7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7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7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7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7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7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7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7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7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7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7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7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7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7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7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7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7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7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7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7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7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7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7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7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7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7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7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7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7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7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7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7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7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7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7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7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7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7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7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7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7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7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7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7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7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7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7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7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7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7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7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7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7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7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7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7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7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7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7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7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7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7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7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7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7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7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7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7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7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7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7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7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7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7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7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7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7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7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7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7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7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7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7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7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7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7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7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7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7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7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7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7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7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7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7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7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7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7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7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7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7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7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7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7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7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7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7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7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7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7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7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7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7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7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7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7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7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7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7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7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7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7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7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7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7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7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7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7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7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7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7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7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7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7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7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7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7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7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7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7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7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7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7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7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7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7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7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7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7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7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7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7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7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7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7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7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7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7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7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7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7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7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7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7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7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7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7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7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7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7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7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7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7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7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7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7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7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7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7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7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7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7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7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7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7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7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7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7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7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7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7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7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7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7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7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7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7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7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7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7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7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7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7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7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7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7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7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7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7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7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7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7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7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7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7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7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7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7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7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7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7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7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7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7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7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7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7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7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7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7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7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7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7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7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7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7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7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7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7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7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7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7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7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7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7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7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7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7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7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7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7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7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7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7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7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7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7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7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7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7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7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7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7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7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7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7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7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7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7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7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7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7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7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7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7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7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7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7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7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7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7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7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7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7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7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7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7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7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7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7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7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7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7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7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7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7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7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7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7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7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7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7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7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7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7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7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7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7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7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7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7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7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7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7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7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7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7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7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7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7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7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7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7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7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7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7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7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7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7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7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7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7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7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7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7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7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7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7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7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7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7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7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7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7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7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7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7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7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7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7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7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7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7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7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7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7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7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7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7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7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7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7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7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7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7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7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7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7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7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7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7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7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7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7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7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7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7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7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7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7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7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7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7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7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7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7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7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7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7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7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7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7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7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7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7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7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7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7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7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7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7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7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7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7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7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7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7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7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7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7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7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7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7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7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7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7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7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7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7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7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7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7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7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7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7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7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7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7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7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7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7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7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7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7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7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7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7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7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7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7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7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7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7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7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7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7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7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7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7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7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7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7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7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7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7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7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7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7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7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7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7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7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7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7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7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7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7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7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7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7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7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7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7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7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7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7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7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7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7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7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7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7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7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7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7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7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7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7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7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7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7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7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7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7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7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7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7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7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7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7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7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7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7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7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7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7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7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7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7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7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7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7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7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7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7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7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7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7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7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7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7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7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7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7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7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7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7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7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7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7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7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7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7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7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7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7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7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7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7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7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7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7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7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7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7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7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7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7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7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7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7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7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7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7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7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7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7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7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7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7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7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7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7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7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7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7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7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7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7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7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7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7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7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7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7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7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7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7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7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7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7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7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7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7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7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7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7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7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7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7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7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7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7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7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7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7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7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7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7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7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7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7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7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7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7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7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7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7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7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7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7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7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7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7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7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7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7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7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7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7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7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7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7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7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7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7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7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7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7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7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7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7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7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7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7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7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7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7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7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7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7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7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7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7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7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7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7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7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7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7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7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7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7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7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7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7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7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7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7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7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7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7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7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7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7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7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7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7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7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7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7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7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7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7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7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7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7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7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7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7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7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7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7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7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7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7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7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7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7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7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7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7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7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7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7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7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7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7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7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7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7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7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7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7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7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7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7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7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7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7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7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7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7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7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7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7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7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7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7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7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7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7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7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7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7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7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7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7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7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7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7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7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7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7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7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7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7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7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7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7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7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7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7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7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7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7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7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7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7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7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7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7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7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7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7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7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7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7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7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7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7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7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7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7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7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7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7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7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7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7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7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7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7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7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7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7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7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7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7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7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7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7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7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7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7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7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7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7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7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7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7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7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7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7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7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7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7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7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7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7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7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7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7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7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7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7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7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7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7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7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7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7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7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7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7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7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7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7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7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7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7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7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7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7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7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7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7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7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7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</sheetData>
  <mergeCells count="7">
    <mergeCell ref="B6:J6"/>
    <mergeCell ref="B2:E2"/>
    <mergeCell ref="B4:J4"/>
    <mergeCell ref="B5:J5"/>
    <mergeCell ref="G2:H2"/>
    <mergeCell ref="B3:E3"/>
    <mergeCell ref="G3:H3"/>
  </mergeCells>
  <phoneticPr fontId="8" type="noConversion"/>
  <dataValidations disablePrompts="1" count="1">
    <dataValidation type="list" allowBlank="1" showInputMessage="1" showErrorMessage="1" sqref="J2" xr:uid="{C0CF1D17-CD30-4C94-A472-BE363958D92B}">
      <formula1>"Table,SP,View,Trigger"</formula1>
    </dataValidation>
  </dataValidations>
  <hyperlinks>
    <hyperlink ref="A1" location="清單列表!A1" display="清單列表!A1" xr:uid="{3196A4A5-323B-475A-AB0F-635165110016}"/>
  </hyperlinks>
  <pageMargins left="0.7" right="0.7" top="0.75" bottom="0.75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DCF58-D683-4C23-8149-DC885C72DA66}">
  <sheetPr codeName="工作表22"/>
  <dimension ref="A1:Z902"/>
  <sheetViews>
    <sheetView tabSelected="1" workbookViewId="0">
      <pane ySplit="7" topLeftCell="A8" activePane="bottomLeft" state="frozen"/>
      <selection activeCell="G33" sqref="G33"/>
      <selection pane="bottomLeft" activeCell="B6" sqref="B6:J6"/>
    </sheetView>
  </sheetViews>
  <sheetFormatPr baseColWidth="10" defaultColWidth="14.5" defaultRowHeight="17.5" customHeight="1"/>
  <cols>
    <col min="1" max="2" width="21.5" customWidth="1"/>
    <col min="3" max="3" width="25.6640625" customWidth="1"/>
    <col min="4" max="4" width="8.33203125" customWidth="1"/>
    <col min="5" max="5" width="10.6640625" customWidth="1"/>
    <col min="6" max="6" width="7.6640625" customWidth="1"/>
    <col min="7" max="8" width="10.6640625" customWidth="1"/>
    <col min="9" max="9" width="25.6640625" customWidth="1"/>
    <col min="10" max="10" width="9" customWidth="1"/>
    <col min="11" max="26" width="8.6640625" customWidth="1"/>
  </cols>
  <sheetData>
    <row r="1" spans="1:26" ht="17.5" customHeight="1">
      <c r="A1" s="26" t="s">
        <v>47</v>
      </c>
    </row>
    <row r="2" spans="1:26" ht="17.5" customHeight="1">
      <c r="A2" s="17" t="s">
        <v>0</v>
      </c>
      <c r="B2" s="38" t="s">
        <v>81</v>
      </c>
      <c r="C2" s="39"/>
      <c r="D2" s="39"/>
      <c r="E2" s="40"/>
      <c r="F2" s="18" t="s">
        <v>1</v>
      </c>
      <c r="G2" s="41" t="s">
        <v>2</v>
      </c>
      <c r="H2" s="42"/>
      <c r="I2" s="19" t="s">
        <v>20</v>
      </c>
      <c r="J2" s="16" t="s">
        <v>34</v>
      </c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17.5" customHeight="1">
      <c r="A3" s="13" t="s">
        <v>3</v>
      </c>
      <c r="B3" s="32" t="str">
        <f>GetCurrentSheetName()</f>
        <v>BCF_CaseUser_Disease</v>
      </c>
      <c r="C3" s="37"/>
      <c r="D3" s="37"/>
      <c r="E3" s="37"/>
      <c r="F3" s="15" t="s">
        <v>35</v>
      </c>
      <c r="G3" s="35" t="s">
        <v>36</v>
      </c>
      <c r="H3" s="36"/>
      <c r="I3" s="22"/>
      <c r="J3" s="23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7.5" customHeight="1">
      <c r="A4" s="13" t="s">
        <v>4</v>
      </c>
      <c r="B4" s="29" t="str">
        <f>GetCurrentSheetPK()</f>
        <v>UUID</v>
      </c>
      <c r="C4" s="33"/>
      <c r="D4" s="33"/>
      <c r="E4" s="33"/>
      <c r="F4" s="33"/>
      <c r="G4" s="33"/>
      <c r="H4" s="33"/>
      <c r="I4" s="33"/>
      <c r="J4" s="3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7.5" customHeight="1">
      <c r="A5" s="13" t="s">
        <v>5</v>
      </c>
      <c r="B5" s="29" t="str">
        <f>GetCurrentSheetFK()</f>
        <v>CaseUser_UUID, Disease_UUID, CreatedBy, UpdatedBy</v>
      </c>
      <c r="C5" s="33"/>
      <c r="D5" s="33"/>
      <c r="E5" s="33"/>
      <c r="F5" s="33"/>
      <c r="G5" s="33"/>
      <c r="H5" s="33"/>
      <c r="I5" s="33"/>
      <c r="J5" s="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7.5" customHeight="1">
      <c r="A6" s="13" t="s">
        <v>39</v>
      </c>
      <c r="B6" s="29"/>
      <c r="C6" s="30"/>
      <c r="D6" s="30"/>
      <c r="E6" s="30"/>
      <c r="F6" s="30"/>
      <c r="G6" s="30"/>
      <c r="H6" s="30"/>
      <c r="I6" s="30"/>
      <c r="J6" s="3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7.5" customHeight="1">
      <c r="A7" s="2" t="s">
        <v>6</v>
      </c>
      <c r="B7" s="3" t="s">
        <v>7</v>
      </c>
      <c r="C7" s="3" t="s">
        <v>8</v>
      </c>
      <c r="D7" s="3" t="s">
        <v>9</v>
      </c>
      <c r="E7" s="3" t="s">
        <v>10</v>
      </c>
      <c r="F7" s="3" t="s">
        <v>11</v>
      </c>
      <c r="G7" s="3" t="s">
        <v>12</v>
      </c>
      <c r="H7" s="3" t="s">
        <v>13</v>
      </c>
      <c r="I7" s="3" t="s">
        <v>14</v>
      </c>
      <c r="J7" s="3" t="s">
        <v>15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7.25" customHeight="1">
      <c r="A8" s="4" t="s">
        <v>78</v>
      </c>
      <c r="B8" s="4" t="s">
        <v>58</v>
      </c>
      <c r="C8" s="5" t="s">
        <v>32</v>
      </c>
      <c r="D8" s="21"/>
      <c r="E8" s="5" t="s">
        <v>43</v>
      </c>
      <c r="F8" s="6"/>
      <c r="G8" s="6"/>
      <c r="H8" s="6"/>
      <c r="I8" s="7" t="s">
        <v>50</v>
      </c>
      <c r="J8" s="7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7.5" customHeight="1">
      <c r="A9" s="4" t="s">
        <v>83</v>
      </c>
      <c r="B9" s="4" t="s">
        <v>84</v>
      </c>
      <c r="C9" s="5" t="s">
        <v>32</v>
      </c>
      <c r="D9" s="21"/>
      <c r="E9" s="5" t="s">
        <v>43</v>
      </c>
      <c r="F9" s="6"/>
      <c r="G9" s="6"/>
      <c r="H9" s="6"/>
      <c r="I9" s="7" t="s">
        <v>82</v>
      </c>
      <c r="J9" s="7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7.5" customHeight="1">
      <c r="A10" s="4" t="s">
        <v>18</v>
      </c>
      <c r="B10" s="4" t="s">
        <v>19</v>
      </c>
      <c r="C10" s="5" t="s">
        <v>32</v>
      </c>
      <c r="D10" s="21"/>
      <c r="E10" s="5" t="s">
        <v>22</v>
      </c>
      <c r="F10" s="6"/>
      <c r="G10" s="6"/>
      <c r="H10" s="6" t="s">
        <v>33</v>
      </c>
      <c r="I10" s="7"/>
      <c r="J10" s="7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7.5" customHeight="1">
      <c r="A11" s="4" t="s">
        <v>79</v>
      </c>
      <c r="B11" s="4" t="s">
        <v>85</v>
      </c>
      <c r="C11" s="5" t="s">
        <v>68</v>
      </c>
      <c r="D11" s="21">
        <v>10</v>
      </c>
      <c r="E11" s="5"/>
      <c r="F11" s="6"/>
      <c r="G11" s="6"/>
      <c r="H11" s="6" t="s">
        <v>75</v>
      </c>
      <c r="I11" s="7" t="s">
        <v>86</v>
      </c>
      <c r="J11" s="7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7.5" customHeight="1">
      <c r="A12" s="4" t="s">
        <v>17</v>
      </c>
      <c r="B12" s="4" t="s">
        <v>15</v>
      </c>
      <c r="C12" s="5" t="s">
        <v>16</v>
      </c>
      <c r="D12" s="21">
        <v>500</v>
      </c>
      <c r="E12" s="6"/>
      <c r="F12" s="6"/>
      <c r="G12" s="6"/>
      <c r="H12" s="5"/>
      <c r="I12" s="7"/>
      <c r="J12" s="7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7.5" customHeight="1">
      <c r="A13" s="4" t="s">
        <v>23</v>
      </c>
      <c r="B13" s="4" t="s">
        <v>27</v>
      </c>
      <c r="C13" s="5" t="s">
        <v>31</v>
      </c>
      <c r="D13" s="21">
        <v>7</v>
      </c>
      <c r="E13" s="6"/>
      <c r="F13" s="6"/>
      <c r="G13" s="6"/>
      <c r="H13" s="6"/>
      <c r="I13" s="7"/>
      <c r="J13" s="7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7.5" customHeight="1">
      <c r="A14" s="4" t="s">
        <v>24</v>
      </c>
      <c r="B14" s="4" t="s">
        <v>28</v>
      </c>
      <c r="C14" s="5" t="s">
        <v>32</v>
      </c>
      <c r="D14" s="21"/>
      <c r="E14" s="5" t="s">
        <v>43</v>
      </c>
      <c r="F14" s="6"/>
      <c r="G14" s="6"/>
      <c r="H14" s="6"/>
      <c r="I14" s="7"/>
      <c r="J14" s="7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5" customHeight="1">
      <c r="A15" s="4" t="s">
        <v>25</v>
      </c>
      <c r="B15" s="4" t="s">
        <v>29</v>
      </c>
      <c r="C15" s="5" t="s">
        <v>31</v>
      </c>
      <c r="D15" s="21">
        <v>7</v>
      </c>
      <c r="E15" s="6"/>
      <c r="F15" s="6"/>
      <c r="G15" s="6"/>
      <c r="H15" s="5"/>
      <c r="I15" s="4"/>
      <c r="J15" s="7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7.5" customHeight="1">
      <c r="A16" s="4" t="s">
        <v>26</v>
      </c>
      <c r="B16" s="4" t="s">
        <v>30</v>
      </c>
      <c r="C16" s="5" t="s">
        <v>37</v>
      </c>
      <c r="D16" s="21"/>
      <c r="E16" s="5" t="s">
        <v>43</v>
      </c>
      <c r="F16" s="6"/>
      <c r="G16" s="6"/>
      <c r="H16" s="5"/>
      <c r="I16" s="4"/>
      <c r="J16" s="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8" spans="1:26" ht="17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7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7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7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7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7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7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7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7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7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7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7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7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7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7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7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7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7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7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7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7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7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7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7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7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7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7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7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7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7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7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7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7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7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7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7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7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7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7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7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7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7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7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7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7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7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7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7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7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7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7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7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7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7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7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7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7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7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7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7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7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7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7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7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7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7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7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7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7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7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7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7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7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7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7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7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7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7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7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7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7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7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7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7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7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7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7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7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7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7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7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7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7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7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7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7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7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7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7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7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7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7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7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7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7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7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7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7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7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7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7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7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7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7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7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7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7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7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7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7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7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7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7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7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7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7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7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7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7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7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7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7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7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7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7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7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7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7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7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7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7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7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7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7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7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7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7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7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7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7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7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7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7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7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7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7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7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7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7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7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7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7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7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7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7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7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7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7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7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7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7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7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7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7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7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7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7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7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7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7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7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7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7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7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7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7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7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7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7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7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7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7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7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7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7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7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7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7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7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7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7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7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7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7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7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7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7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7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7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7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7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7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7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7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7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7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7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7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7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7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7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7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7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7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7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7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7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7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7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7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7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7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7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7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7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7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7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7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7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7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7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7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7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7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7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7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7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7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7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7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7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7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7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7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7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7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7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7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7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7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7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7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7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7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7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7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7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7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7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7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7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7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7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7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7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7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7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7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7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7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7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7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7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7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7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7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7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7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7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7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7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7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7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7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7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7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7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7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7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7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7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7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7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7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7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7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7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7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7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7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7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7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7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7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7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7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7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7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7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7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7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7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7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7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7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7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7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7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7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7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7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7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7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7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7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7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7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7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7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7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7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7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7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7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7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7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7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7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7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7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7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7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7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7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7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7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7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7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7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7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7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7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7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7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7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7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7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7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7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7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7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7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7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7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7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7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7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7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7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7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7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7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7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7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7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7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7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7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7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7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7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7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7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7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7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7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7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7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7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7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7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7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7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7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7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7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7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7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7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7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7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7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7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7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7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7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7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7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7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7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7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7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7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7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7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7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7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7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7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7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7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7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7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7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7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7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7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7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7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7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7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7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7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7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7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7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7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7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7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7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7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7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7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7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7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7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7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7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7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7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7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7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7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7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7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7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7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7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7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7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7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7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7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7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7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7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7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7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7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7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7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7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7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7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7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7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7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7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7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7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7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7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7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7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7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7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7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7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7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7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7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7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7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7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7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7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7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7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7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7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7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7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7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7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7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7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7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7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7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7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7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7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7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7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7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7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7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7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7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7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7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7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7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7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7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7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7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7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7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7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7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7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7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7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7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7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7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7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7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7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7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7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7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7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7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7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7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7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7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7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7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7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7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7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7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7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7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7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7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7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7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7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7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7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7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7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7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7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7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7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7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7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7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7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7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7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7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7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7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7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7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7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7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7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7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7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7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7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7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7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7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7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7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7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7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7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7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7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7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7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7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7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7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7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7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7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7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7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7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7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7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7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7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7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7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7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7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7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7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7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7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7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7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7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7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7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7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7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7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7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7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7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7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7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7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7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7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7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7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7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7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7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7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7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7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7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7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7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7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7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7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7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7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7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7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7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7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7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7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7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7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7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7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7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7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7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7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7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7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7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7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7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7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7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7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7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7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7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7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7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7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7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7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7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7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7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7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7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7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7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7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7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7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7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7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7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7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7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7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7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7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7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7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7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7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7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7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7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7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7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7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7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7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7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7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7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7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7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7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7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7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7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7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7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7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7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7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7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7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7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7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7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7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7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7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7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7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7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7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7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7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7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7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7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7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7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7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7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7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7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7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7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7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7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7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7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7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7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7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7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7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7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7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7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7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7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7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7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7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7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7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7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7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7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7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7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7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7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7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7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7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7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7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7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7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7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7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7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7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7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7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7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7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7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7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7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7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7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7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7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7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7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7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7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7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7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7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7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7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7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7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7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7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7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7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7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7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7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7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7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7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7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7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7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7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7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7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7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7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7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7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7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7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7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7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7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7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7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7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7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7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7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7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7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7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7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7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7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7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7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7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7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7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7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7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7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7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7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7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7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7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7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7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7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7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7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7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7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7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7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7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7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7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</sheetData>
  <mergeCells count="7">
    <mergeCell ref="B6:J6"/>
    <mergeCell ref="B2:E2"/>
    <mergeCell ref="G2:H2"/>
    <mergeCell ref="B3:E3"/>
    <mergeCell ref="G3:H3"/>
    <mergeCell ref="B4:J4"/>
    <mergeCell ref="B5:J5"/>
  </mergeCells>
  <phoneticPr fontId="8" type="noConversion"/>
  <dataValidations disablePrompts="1" count="1">
    <dataValidation type="list" allowBlank="1" showInputMessage="1" showErrorMessage="1" sqref="J2" xr:uid="{79C6CA73-68C8-41D1-9EB7-1DDE8E8A1B36}">
      <formula1>"Table,SP,View,Trigger"</formula1>
    </dataValidation>
  </dataValidations>
  <hyperlinks>
    <hyperlink ref="A1" location="清單列表!A1" display="清單列表!A1" xr:uid="{41ECD7F4-B4A5-4E81-80AB-AFAF707FEE4D}"/>
  </hyperlinks>
  <pageMargins left="0.7" right="0.7" top="0.75" bottom="0.75" header="0" footer="0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906F-7E4E-4A9D-89A6-003362F914BB}">
  <sheetPr codeName="工作表16"/>
  <dimension ref="A1:Z917"/>
  <sheetViews>
    <sheetView workbookViewId="0">
      <pane ySplit="7" topLeftCell="A8" activePane="bottomLeft" state="frozen"/>
      <selection activeCell="G33" sqref="G33"/>
      <selection pane="bottomLeft" activeCell="O31" sqref="O31"/>
    </sheetView>
  </sheetViews>
  <sheetFormatPr baseColWidth="10" defaultColWidth="14.5" defaultRowHeight="17.5" customHeight="1"/>
  <cols>
    <col min="1" max="2" width="21.5" customWidth="1"/>
    <col min="3" max="3" width="25.6640625" customWidth="1"/>
    <col min="4" max="4" width="8.33203125" customWidth="1"/>
    <col min="5" max="5" width="10.6640625" customWidth="1"/>
    <col min="6" max="6" width="7.6640625" customWidth="1"/>
    <col min="7" max="8" width="10.6640625" customWidth="1"/>
    <col min="9" max="9" width="25.6640625" customWidth="1"/>
    <col min="10" max="10" width="9" customWidth="1"/>
    <col min="11" max="26" width="8.6640625" customWidth="1"/>
  </cols>
  <sheetData>
    <row r="1" spans="1:26" ht="17.5" customHeight="1">
      <c r="A1" s="26" t="s">
        <v>47</v>
      </c>
    </row>
    <row r="2" spans="1:26" ht="17.5" customHeight="1">
      <c r="A2" s="17" t="s">
        <v>0</v>
      </c>
      <c r="B2" s="38" t="s">
        <v>57</v>
      </c>
      <c r="C2" s="39"/>
      <c r="D2" s="39"/>
      <c r="E2" s="40"/>
      <c r="F2" s="18" t="s">
        <v>1</v>
      </c>
      <c r="G2" s="41" t="s">
        <v>2</v>
      </c>
      <c r="H2" s="42"/>
      <c r="I2" s="19" t="s">
        <v>20</v>
      </c>
      <c r="J2" s="16" t="s">
        <v>34</v>
      </c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17.5" customHeight="1">
      <c r="A3" s="13" t="s">
        <v>3</v>
      </c>
      <c r="B3" s="32" t="str">
        <f>GetCurrentSheetName()</f>
        <v>BCF_CaseTestReport_D</v>
      </c>
      <c r="C3" s="37"/>
      <c r="D3" s="37"/>
      <c r="E3" s="37"/>
      <c r="F3" s="15" t="s">
        <v>35</v>
      </c>
      <c r="G3" s="35" t="s">
        <v>36</v>
      </c>
      <c r="H3" s="36"/>
      <c r="I3" s="22"/>
      <c r="J3" s="23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7.5" customHeight="1">
      <c r="A4" s="13" t="s">
        <v>4</v>
      </c>
      <c r="B4" s="29" t="str">
        <f>GetCurrentSheetPK()</f>
        <v>UUID</v>
      </c>
      <c r="C4" s="33"/>
      <c r="D4" s="33"/>
      <c r="E4" s="33"/>
      <c r="F4" s="33"/>
      <c r="G4" s="33"/>
      <c r="H4" s="33"/>
      <c r="I4" s="33"/>
      <c r="J4" s="3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7.5" customHeight="1">
      <c r="A5" s="13" t="s">
        <v>5</v>
      </c>
      <c r="B5" s="29" t="str">
        <f>GetCurrentSheetFK()</f>
        <v>M_UUID, TestItem_UUID, Testers, Registrar, CreatedBy, UpdatedBy</v>
      </c>
      <c r="C5" s="33"/>
      <c r="D5" s="33"/>
      <c r="E5" s="33"/>
      <c r="F5" s="33"/>
      <c r="G5" s="33"/>
      <c r="H5" s="33"/>
      <c r="I5" s="33"/>
      <c r="J5" s="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7.5" customHeight="1">
      <c r="A6" s="13" t="s">
        <v>39</v>
      </c>
      <c r="B6" s="29"/>
      <c r="C6" s="30"/>
      <c r="D6" s="30"/>
      <c r="E6" s="30"/>
      <c r="F6" s="30"/>
      <c r="G6" s="30"/>
      <c r="H6" s="30"/>
      <c r="I6" s="30"/>
      <c r="J6" s="3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7.5" customHeight="1">
      <c r="A7" s="2" t="s">
        <v>6</v>
      </c>
      <c r="B7" s="3" t="s">
        <v>7</v>
      </c>
      <c r="C7" s="3" t="s">
        <v>8</v>
      </c>
      <c r="D7" s="3" t="s">
        <v>9</v>
      </c>
      <c r="E7" s="3" t="s">
        <v>10</v>
      </c>
      <c r="F7" s="3" t="s">
        <v>11</v>
      </c>
      <c r="G7" s="3" t="s">
        <v>12</v>
      </c>
      <c r="H7" s="3" t="s">
        <v>13</v>
      </c>
      <c r="I7" s="3" t="s">
        <v>14</v>
      </c>
      <c r="J7" s="3" t="s">
        <v>15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7.25" customHeight="1">
      <c r="A8" s="4" t="s">
        <v>40</v>
      </c>
      <c r="B8" s="4" t="s">
        <v>41</v>
      </c>
      <c r="C8" s="5" t="s">
        <v>32</v>
      </c>
      <c r="D8" s="21"/>
      <c r="E8" s="5" t="s">
        <v>43</v>
      </c>
      <c r="F8" s="6"/>
      <c r="G8" s="6"/>
      <c r="H8" s="6"/>
      <c r="I8" s="7" t="s">
        <v>42</v>
      </c>
      <c r="J8" s="7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7.5" customHeight="1">
      <c r="A9" s="4" t="s">
        <v>59</v>
      </c>
      <c r="B9" s="4" t="s">
        <v>61</v>
      </c>
      <c r="C9" s="5" t="s">
        <v>32</v>
      </c>
      <c r="D9" s="21"/>
      <c r="E9" s="5" t="s">
        <v>43</v>
      </c>
      <c r="F9" s="6"/>
      <c r="G9" s="6"/>
      <c r="H9" s="6"/>
      <c r="I9" s="7" t="s">
        <v>60</v>
      </c>
      <c r="J9" s="7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7.5" customHeight="1">
      <c r="A10" s="4" t="s">
        <v>18</v>
      </c>
      <c r="B10" s="4" t="s">
        <v>19</v>
      </c>
      <c r="C10" s="5" t="s">
        <v>32</v>
      </c>
      <c r="D10" s="21"/>
      <c r="E10" s="5" t="s">
        <v>22</v>
      </c>
      <c r="F10" s="6"/>
      <c r="G10" s="6"/>
      <c r="H10" s="6" t="s">
        <v>33</v>
      </c>
      <c r="J10" s="7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7.5" customHeight="1">
      <c r="A11" s="4" t="s">
        <v>66</v>
      </c>
      <c r="B11" s="4" t="s">
        <v>67</v>
      </c>
      <c r="C11" s="5" t="s">
        <v>68</v>
      </c>
      <c r="D11" s="21" t="s">
        <v>49</v>
      </c>
      <c r="E11" s="5"/>
      <c r="F11" s="6"/>
      <c r="G11" s="6"/>
      <c r="H11" s="6"/>
      <c r="I11" s="7" t="s">
        <v>69</v>
      </c>
      <c r="J11" s="7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7.5" customHeight="1">
      <c r="A12" s="4" t="s">
        <v>70</v>
      </c>
      <c r="B12" s="4" t="s">
        <v>71</v>
      </c>
      <c r="C12" s="5" t="s">
        <v>68</v>
      </c>
      <c r="D12" s="21" t="s">
        <v>49</v>
      </c>
      <c r="E12" s="5"/>
      <c r="F12" s="6"/>
      <c r="G12" s="6"/>
      <c r="H12" s="6"/>
      <c r="I12" s="7" t="s">
        <v>69</v>
      </c>
      <c r="J12" s="7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7.5" customHeight="1">
      <c r="A13" s="4" t="s">
        <v>51</v>
      </c>
      <c r="B13" s="4" t="s">
        <v>53</v>
      </c>
      <c r="C13" s="5" t="s">
        <v>31</v>
      </c>
      <c r="D13" s="21">
        <v>7</v>
      </c>
      <c r="E13" s="5"/>
      <c r="F13" s="6"/>
      <c r="G13" s="6"/>
      <c r="H13" s="6"/>
      <c r="I13" s="7" t="s">
        <v>55</v>
      </c>
      <c r="J13" s="7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7.5" customHeight="1">
      <c r="A14" s="4" t="s">
        <v>52</v>
      </c>
      <c r="B14" s="4" t="s">
        <v>54</v>
      </c>
      <c r="C14" s="5" t="s">
        <v>31</v>
      </c>
      <c r="D14" s="21">
        <v>7</v>
      </c>
      <c r="E14" s="5"/>
      <c r="F14" s="6"/>
      <c r="G14" s="6"/>
      <c r="H14" s="6"/>
      <c r="I14" s="7" t="s">
        <v>56</v>
      </c>
      <c r="J14" s="7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5" customHeight="1">
      <c r="A15" s="4" t="s">
        <v>64</v>
      </c>
      <c r="B15" s="4" t="s">
        <v>62</v>
      </c>
      <c r="C15" s="5" t="s">
        <v>32</v>
      </c>
      <c r="D15" s="21"/>
      <c r="E15" s="5" t="s">
        <v>43</v>
      </c>
      <c r="F15" s="6"/>
      <c r="G15" s="6"/>
      <c r="H15" s="6"/>
      <c r="I15" s="7"/>
      <c r="J15" s="7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7.5" customHeight="1">
      <c r="A16" s="4" t="s">
        <v>65</v>
      </c>
      <c r="B16" s="4" t="s">
        <v>63</v>
      </c>
      <c r="C16" s="5" t="s">
        <v>32</v>
      </c>
      <c r="D16" s="21"/>
      <c r="E16" s="5" t="s">
        <v>43</v>
      </c>
      <c r="F16" s="6"/>
      <c r="G16" s="6"/>
      <c r="H16" s="6"/>
      <c r="I16" s="7"/>
      <c r="J16" s="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7.5" customHeight="1">
      <c r="A17" s="4" t="s">
        <v>72</v>
      </c>
      <c r="B17" s="4" t="s">
        <v>73</v>
      </c>
      <c r="C17" s="5" t="s">
        <v>16</v>
      </c>
      <c r="D17" s="21">
        <v>1000</v>
      </c>
      <c r="E17" s="5"/>
      <c r="F17" s="6"/>
      <c r="G17" s="6"/>
      <c r="H17" s="6"/>
      <c r="I17" s="7" t="s">
        <v>74</v>
      </c>
      <c r="J17" s="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7.5" customHeight="1">
      <c r="A18" s="4" t="s">
        <v>17</v>
      </c>
      <c r="B18" s="4" t="s">
        <v>15</v>
      </c>
      <c r="C18" s="5" t="s">
        <v>16</v>
      </c>
      <c r="D18" s="21">
        <v>500</v>
      </c>
      <c r="E18" s="6"/>
      <c r="F18" s="6"/>
      <c r="G18" s="6"/>
      <c r="H18" s="5"/>
      <c r="I18" s="7"/>
      <c r="J18" s="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7.5" customHeight="1">
      <c r="A19" s="4" t="s">
        <v>23</v>
      </c>
      <c r="B19" s="4" t="s">
        <v>27</v>
      </c>
      <c r="C19" s="5" t="s">
        <v>31</v>
      </c>
      <c r="D19" s="21">
        <v>7</v>
      </c>
      <c r="E19" s="6"/>
      <c r="F19" s="6"/>
      <c r="G19" s="6"/>
      <c r="H19" s="6"/>
      <c r="I19" s="7"/>
      <c r="J19" s="7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7.5" customHeight="1">
      <c r="A20" s="4" t="s">
        <v>24</v>
      </c>
      <c r="B20" s="4" t="s">
        <v>28</v>
      </c>
      <c r="C20" s="5" t="s">
        <v>32</v>
      </c>
      <c r="D20" s="21"/>
      <c r="E20" s="5" t="s">
        <v>43</v>
      </c>
      <c r="F20" s="6"/>
      <c r="G20" s="6"/>
      <c r="H20" s="6"/>
      <c r="I20" s="7"/>
      <c r="J20" s="7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7.5" customHeight="1">
      <c r="A21" s="4" t="s">
        <v>25</v>
      </c>
      <c r="B21" s="4" t="s">
        <v>29</v>
      </c>
      <c r="C21" s="5" t="s">
        <v>31</v>
      </c>
      <c r="D21" s="21">
        <v>7</v>
      </c>
      <c r="E21" s="6"/>
      <c r="F21" s="6"/>
      <c r="G21" s="6"/>
      <c r="H21" s="5"/>
      <c r="I21" s="4"/>
      <c r="J21" s="7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7.5" customHeight="1">
      <c r="A22" s="4" t="s">
        <v>26</v>
      </c>
      <c r="B22" s="4" t="s">
        <v>30</v>
      </c>
      <c r="C22" s="5" t="s">
        <v>37</v>
      </c>
      <c r="D22" s="21"/>
      <c r="E22" s="5" t="s">
        <v>43</v>
      </c>
      <c r="F22" s="6"/>
      <c r="G22" s="6"/>
      <c r="H22" s="5"/>
      <c r="I22" s="4"/>
      <c r="J22" s="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4" spans="1:26" ht="17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7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7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7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7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7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7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7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7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7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7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7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7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7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7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7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7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7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7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7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7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7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7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7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7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7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7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7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7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7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7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7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7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7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7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7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7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7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7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7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7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7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7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7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7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7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7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7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7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7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7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7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7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7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7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7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7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7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7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7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7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7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7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7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7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7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7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7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7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7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7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7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7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7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7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7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7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7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7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7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7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7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7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7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7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7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7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7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7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7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7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7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7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7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7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7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7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7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7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7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7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7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7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7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7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7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7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7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7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7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7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7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7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7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7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7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7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7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7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7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7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7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7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7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7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7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7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7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7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7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7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7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7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7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7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7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7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7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7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7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7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7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7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7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7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7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7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7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7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7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7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7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7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7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7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7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7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7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7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7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7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7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7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7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7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7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7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7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7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7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7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7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7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7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7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7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7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7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7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7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7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7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7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7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7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7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7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7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7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7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7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7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7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7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7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7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7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7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7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7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7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7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7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7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7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7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7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7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7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7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7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7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7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7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7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7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7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7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7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7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7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7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7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7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7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7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7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7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7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7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7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7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7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7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7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7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7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7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7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7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7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7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7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7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7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7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7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7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7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7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7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7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7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7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7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7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7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7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7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7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7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7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7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7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7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7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7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7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7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7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7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7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7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7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7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7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7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7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7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7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7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7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7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7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7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7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7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7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7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7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7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7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7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7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7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7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7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7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7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7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7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7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7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7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7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7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7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7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7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7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7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7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7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7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7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7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7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7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7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7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7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7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7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7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7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7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7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7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7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7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7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7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7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7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7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7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7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7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7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7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7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7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7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7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7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7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7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7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7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7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7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7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7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7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7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7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7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7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7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7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7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7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7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7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7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7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7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7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7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7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7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7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7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7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7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7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7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7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7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7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7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7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7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7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7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7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7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7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7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7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7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7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7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7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7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7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7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7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7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7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7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7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7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7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7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7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7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7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7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7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7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7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7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7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7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7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7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7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7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7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7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7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7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7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7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7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7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7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7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7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7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7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7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7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7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7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7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7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7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7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7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7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7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7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7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7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7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7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7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7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7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7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7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7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7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7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7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7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7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7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7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7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7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7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7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7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7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7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7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7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7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7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7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7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7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7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7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7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7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7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7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7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7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7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7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7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7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7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7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7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7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7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7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7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7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7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7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7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7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7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7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7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7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7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7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7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7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7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7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7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7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7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7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7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7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7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7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7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7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7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7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7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7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7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7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7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7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7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7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7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7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7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7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7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7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7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7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7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7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7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7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7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7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7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7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7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7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7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7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7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7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7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7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7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7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7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7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7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7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7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7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7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7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7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7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7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7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7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7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7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7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7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7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7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7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7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7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7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7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7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7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7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7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7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7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7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7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7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7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7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7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7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7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7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7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7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7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7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7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7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7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7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7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7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7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7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7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7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7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7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7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7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7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7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7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7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7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7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7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7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7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7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7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7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7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7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7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7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7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7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7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7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7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7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7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7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7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7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7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7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7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7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7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7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7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7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7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7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7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7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7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7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7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7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7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7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7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7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7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7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7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7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7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7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7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7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7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7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7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7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7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7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7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7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7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7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7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7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7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7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7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7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7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7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7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7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7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7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7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7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7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7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7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7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7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7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7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7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7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7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7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7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7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7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7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7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7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7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7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7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7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7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7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7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7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7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7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7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7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7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7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7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7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7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7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7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7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7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7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7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7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7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7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7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7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7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7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7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7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7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7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7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7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7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7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7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7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7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7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7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7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7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7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7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7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7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7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7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7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7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7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7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7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7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7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7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7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7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7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7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7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7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7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7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7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7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7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7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7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7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7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7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7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7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7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7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7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7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7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7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7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7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7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7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7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7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7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7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7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7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7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7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7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7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7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7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7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7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7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7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7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7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7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7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7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7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7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7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7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7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7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7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7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7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7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7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7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7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7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7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7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7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7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7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7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7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7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7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7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7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7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7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7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7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7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7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7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7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7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7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7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7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7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7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7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7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7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7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7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7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7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7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7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7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7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7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7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7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7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7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7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7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7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7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7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7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7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7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7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7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7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7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7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7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7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7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7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7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7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7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7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7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</sheetData>
  <mergeCells count="7">
    <mergeCell ref="B6:J6"/>
    <mergeCell ref="B2:E2"/>
    <mergeCell ref="G2:H2"/>
    <mergeCell ref="B3:E3"/>
    <mergeCell ref="G3:H3"/>
    <mergeCell ref="B4:J4"/>
    <mergeCell ref="B5:J5"/>
  </mergeCells>
  <phoneticPr fontId="8" type="noConversion"/>
  <dataValidations disablePrompts="1" count="1">
    <dataValidation type="list" allowBlank="1" showInputMessage="1" showErrorMessage="1" sqref="J2" xr:uid="{0089511C-4651-4C20-B9E2-53B74E1A7475}">
      <formula1>"Table,SP,View,Trigger"</formula1>
    </dataValidation>
  </dataValidations>
  <hyperlinks>
    <hyperlink ref="A1" location="清單列表!A1" display="清單列表!A1" xr:uid="{DDD06B12-C5FE-4062-9483-D344E964BB5F}"/>
  </hyperlinks>
  <pageMargins left="0.7" right="0.7" top="0.75" bottom="0.75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清單列表</vt:lpstr>
      <vt:lpstr>Template</vt:lpstr>
      <vt:lpstr>BCF_CaseUser_Disease</vt:lpstr>
      <vt:lpstr>BCF_CaseTestReport_D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許景堯</dc:creator>
  <cp:lastModifiedBy>Jerry Xu 許仕杰</cp:lastModifiedBy>
  <dcterms:created xsi:type="dcterms:W3CDTF">2024-01-15T09:22:50Z</dcterms:created>
  <dcterms:modified xsi:type="dcterms:W3CDTF">2024-04-26T05:15:17Z</dcterms:modified>
</cp:coreProperties>
</file>